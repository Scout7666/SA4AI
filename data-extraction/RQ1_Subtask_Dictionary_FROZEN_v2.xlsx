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fb49e5fddf4a70" /></Relationships>
</file>

<file path=xl/workbook.xml><?xml version="1.0" encoding="utf-8"?>
<x:workbook xmlns:x="http://schemas.openxmlformats.org/spreadsheetml/2006/main">
  <x:sheets>
    <x:sheet xmlns:r="http://schemas.openxmlformats.org/officeDocument/2006/relationships" name="Final_Subtask_Taxonomy" sheetId="1" r:id="R08093b84ce2f4652"/>
    <x:sheet xmlns:r="http://schemas.openxmlformats.org/officeDocument/2006/relationships" name="Terminology_Decisions" sheetId="2" r:id="R36f6c1c5651b43fb"/>
    <x:sheet xmlns:r="http://schemas.openxmlformats.org/officeDocument/2006/relationships" name="RQ1_Frozen_Mapping" sheetId="3" r:id="R76264d26fd91475c"/>
    <x:sheet xmlns:r="http://schemas.openxmlformats.org/officeDocument/2006/relationships" name="Manual_Review" sheetId="4" r:id="Ra4302f930fc149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20252A"/>
      <x:name val="Arial"/>
    </x:font>
    <x:font>
      <x:b/>
      <x:sz val="10"/>
      <x:color rgb="FFFFFFFF"/>
      <x:name val="Arial"/>
    </x:font>
  </x:fonts>
  <x:fills count="4">
    <x:fill>
      <x:patternFill patternType="none"/>
    </x:fill>
    <x:fill>
      <x:patternFill patternType="gray125"/>
    </x:fill>
    <x:fill>
      <x:patternFill patternType="solid">
        <x:fgColor rgb="FF203D55"/>
      </x:patternFill>
    </x:fill>
    <x:fill>
      <x:patternFill patternType="solid">
        <x:fgColor rgb="FFF4F7F9"/>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de2ba59a0e48db" /><Relationship Type="http://schemas.openxmlformats.org/officeDocument/2006/relationships/theme" Target="/xl/theme/theme1.xml" Id="R340d90a3716549ca" /><Relationship Type="http://schemas.openxmlformats.org/officeDocument/2006/relationships/sharedStrings" Target="/xl/sharedStrings.xml" Id="R0f0f7263ae024a7f" /><Relationship Type="http://schemas.openxmlformats.org/officeDocument/2006/relationships/worksheet" Target="/xl/worksheets/sheet1.xml" Id="R08093b84ce2f4652" /><Relationship Type="http://schemas.openxmlformats.org/officeDocument/2006/relationships/worksheet" Target="/xl/worksheets/sheet2.xml" Id="R36f6c1c5651b43fb" /><Relationship Type="http://schemas.openxmlformats.org/officeDocument/2006/relationships/worksheet" Target="/xl/worksheets/sheet3.xml" Id="R76264d26fd91475c" /><Relationship Type="http://schemas.openxmlformats.org/officeDocument/2006/relationships/worksheet" Target="/xl/worksheets/sheet4.xml" Id="Ra4302f930fc14975" /></Relationships>
</file>

<file path=xl/tables/table1.xml><?xml version="1.0" encoding="utf-8"?>
<x:table xmlns:x="http://schemas.openxmlformats.org/spreadsheetml/2006/main" id="1" name="FinalSubtaskTaxonomyData" displayName="FinalSubtaskTaxonomyData" ref="A1:I17" headerRowCount="1" totalsRowCount="0" totalsRowShown="0">
  <x:tableColumns count="9">
    <x:tableColumn id="1" name="Activity_ID"/>
    <x:tableColumn id="2" name="Activity_Name"/>
    <x:tableColumn id="3" name="Canonical_Subtask"/>
    <x:tableColumn id="4" name="Definition"/>
    <x:tableColumn id="5" name="Included_Raw_Terms"/>
    <x:tableColumn id="6" name="Boundary_or_Exclusion"/>
    <x:tableColumn id="7" name="Supporting_Studies"/>
    <x:tableColumn id="8" name="Study_Count"/>
    <x:tableColumn id="9" name="Status"/>
  </x:tableColumns>
  <x:tableStyleInfo name="TableStyleMedium2" showFirstColumn="0" showLastColumn="0" showRowStripes="1" showColumnStripes="0"/>
</x:table>
</file>

<file path=xl/tables/table2.xml><?xml version="1.0" encoding="utf-8"?>
<x:table xmlns:x="http://schemas.openxmlformats.org/spreadsheetml/2006/main" id="2" name="TerminologyDecisionsData" displayName="TerminologyDecisionsData" ref="A1:F146" headerRowCount="1" totalsRowCount="0" totalsRowShown="0">
  <x:tableColumns count="6">
    <x:tableColumn id="1" name="Raw_Term"/>
    <x:tableColumn id="2" name="Original_Activity"/>
    <x:tableColumn id="3" name="Decision"/>
    <x:tableColumn id="4" name="Canonical_Subtask"/>
    <x:tableColumn id="5" name="Reason"/>
    <x:tableColumn id="6" name="Affected_Studies"/>
  </x:tableColumns>
  <x:tableStyleInfo name="TableStyleMedium2" showFirstColumn="0" showLastColumn="0" showRowStripes="1" showColumnStripes="0"/>
</x:table>
</file>

<file path=xl/tables/table3.xml><?xml version="1.0" encoding="utf-8"?>
<x:table xmlns:x="http://schemas.openxmlformats.org/spreadsheetml/2006/main" id="3" name="RQ1FrozenMappingData" displayName="RQ1FrozenMappingData" ref="A1:F61" headerRowCount="1" totalsRowCount="0" totalsRowShown="0">
  <x:tableColumns count="6">
    <x:tableColumn id="1" name="Study_ID"/>
    <x:tableColumn id="2" name="Refactoring_Activity"/>
    <x:tableColumn id="3" name="Refactoring_Subtask"/>
    <x:tableColumn id="4" name="Support_Type"/>
    <x:tableColumn id="5" name="Evidence"/>
    <x:tableColumn id="6" name="Evidence_Location"/>
  </x:tableColumns>
  <x:tableStyleInfo name="TableStyleMedium2" showFirstColumn="0" showLastColumn="0" showRowStripes="1" showColumnStripes="0"/>
</x:table>
</file>

<file path=xl/tables/table4.xml><?xml version="1.0" encoding="utf-8"?>
<x:table xmlns:x="http://schemas.openxmlformats.org/spreadsheetml/2006/main" id="4" name="ManualReviewData" displayName="ManualReviewData" ref="A1:J24" headerRowCount="1" totalsRowCount="0" totalsRowShown="0">
  <x:tableColumns count="10">
    <x:tableColumn id="1" name="Study_ID"/>
    <x:tableColumn id="2" name="Current_Activity"/>
    <x:tableColumn id="3" name="Current_Subtask"/>
    <x:tableColumn id="4" name="Candidate_Activity"/>
    <x:tableColumn id="5" name="Candidate_Subtask"/>
    <x:tableColumn id="6" name="Problem"/>
    <x:tableColumn id="7" name="Evidence"/>
    <x:tableColumn id="8" name="Recommendation"/>
    <x:tableColumn id="9" name="Status"/>
    <x:tableColumn id="10" name="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70960ad74840a2" /></Relationships>
</file>

<file path=xl/worksheets/_rels/sheet2.xml.rels>&#65279;<?xml version="1.0" encoding="utf-8"?><Relationships xmlns="http://schemas.openxmlformats.org/package/2006/relationships"><Relationship Type="http://schemas.openxmlformats.org/officeDocument/2006/relationships/table" Target="/xl/tables/table2.xml" Id="R44ec023be31948aa" /></Relationships>
</file>

<file path=xl/worksheets/_rels/sheet3.xml.rels>&#65279;<?xml version="1.0" encoding="utf-8"?><Relationships xmlns="http://schemas.openxmlformats.org/package/2006/relationships"><Relationship Type="http://schemas.openxmlformats.org/officeDocument/2006/relationships/table" Target="/xl/tables/table3.xml" Id="R57ac91fba90a45dc" /></Relationships>
</file>

<file path=xl/worksheets/_rels/sheet4.xml.rels>&#65279;<?xml version="1.0" encoding="utf-8"?><Relationships xmlns="http://schemas.openxmlformats.org/package/2006/relationships"><Relationship Type="http://schemas.openxmlformats.org/officeDocument/2006/relationships/table" Target="/xl/tables/table4.xml" Id="R144e6c03f15846f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8" hidden="0" customWidth="1"/>
    <x:col min="3" max="3" width="37" hidden="0" customWidth="1"/>
    <x:col min="4" max="4" width="64" hidden="0" customWidth="1"/>
    <x:col min="5" max="5" width="74" hidden="0" customWidth="1"/>
    <x:col min="6" max="6" width="64" hidden="0" customWidth="1"/>
    <x:col min="7" max="7" width="30" hidden="0" customWidth="1"/>
    <x:col min="8" max="8" width="15" hidden="0" customWidth="1"/>
    <x:col min="9" max="9" width="15" hidden="0" customWidth="1"/>
  </x:cols>
  <x:sheetData>
    <x:row r="1" ht="44" customHeight="1">
      <x:c r="A1" s="6" t="str">
        <x:v>Activity_ID</x:v>
      </x:c>
      <x:c r="B1" s="6" t="str">
        <x:v>Activity_Name</x:v>
      </x:c>
      <x:c r="C1" s="6" t="str">
        <x:v>Canonical_Subtask</x:v>
      </x:c>
      <x:c r="D1" s="6" t="str">
        <x:v>Definition</x:v>
      </x:c>
      <x:c r="E1" s="6" t="str">
        <x:v>Included_Raw_Terms</x:v>
      </x:c>
      <x:c r="F1" s="6" t="str">
        <x:v>Boundary_or_Exclusion</x:v>
      </x:c>
      <x:c r="G1" s="6" t="str">
        <x:v>Supporting_Studies</x:v>
      </x:c>
      <x:c r="H1" s="6" t="str">
        <x:v>Study_Count</x:v>
      </x:c>
      <x:c r="I1" s="6" t="str">
        <x:v>Status</x:v>
      </x:c>
    </x:row>
    <x:row r="2" ht="117" customHeight="1">
      <x:c r="A2" s="7" t="str">
        <x:v>A1</x:v>
      </x:c>
      <x:c r="B2" s="7" t="str">
        <x:v>Opportunity Identification</x:v>
      </x:c>
      <x:c r="C2" s="7" t="str">
        <x:v>General Refactoring Opportunity Identification</x:v>
      </x:c>
      <x:c r="D2" s="7" t="str">
        <x:v>Identify code locations that may require refactoring when the available evidence does not establish a more specific opportunity task.</x:v>
      </x:c>
      <x:c r="E2" s="7" t="str">
        <x:v>automated detection and correction of refactoring opportunities
detection stage
identify refactoring opportunities using clustering techniques
learn refactoring opportunities from examples
refactoring candidate identification
refactoring opportunity identification
refactoring opportunity identification and type selection</x:v>
      </x:c>
      <x:c r="F2" s="7" t="str">
        <x:v>Residual label only; do not duplicate a more specific label for the same evidence.</x:v>
      </x:c>
      <x:c r="G2" s="7" t="str">
        <x:v>P1, P7, P14, P15, P21</x:v>
      </x:c>
      <x:c r="H2" s="8" t="n">
        <x:f>COUNTIFS('RQ1_Frozen_Mapping'!$C$2:$C$61,C2,'RQ1_Frozen_Mapping'!$D$2:$D$61,"Direct")</x:f>
        <x:v>5</x:v>
      </x:c>
      <x:c r="I2" s="7" t="str">
        <x:v>FINAL</x:v>
      </x:c>
    </x:row>
    <x:row r="3" ht="207" customHeight="1">
      <x:c r="A3" s="3" t="str">
        <x:v>A1</x:v>
      </x:c>
      <x:c r="B3" s="3" t="str">
        <x:v>Opportunity Identification</x:v>
      </x:c>
      <x:c r="C3" s="3" t="str">
        <x:v>Smell-based Opportunity Identification</x:v>
      </x:c>
      <x:c r="D3" s="3" t="str">
        <x:v>Identify code or design smells as candidates or locations for subsequent refactoring.</x:v>
      </x:c>
      <x:c r="E3" s="3" t="str">
        <x:v>ML-based code-smell detection and unified benchmark
code smell detection and visualization to decide whether to proceed to refactoring
code smell detection to assess refactoring possibilities
detect code and design smells using seven families of techniques
detect code smells and subsequently refactor
detect code smells using machine-learning techniques
detect feature envy and recommend methods to appropriate classes
identify code components that require refactoring through design-smell/anti-pattern detection
identify code smells
use code smells as pointers for determining opportunities for refactoring</x:v>
      </x:c>
      <x:c r="F3" s="3" t="str">
        <x:v>Requires an explicit refactoring linkage; exclude ranking and operation choice.</x:v>
      </x:c>
      <x:c r="G3" s="3" t="str">
        <x:v>P3, P4, P6, P8, P10, P11, P12, P18, P20, P21, P23, P25</x:v>
      </x:c>
      <x:c r="H3" s="9" t="n">
        <x:f>COUNTIFS('RQ1_Frozen_Mapping'!$C$2:$C$61,C3,'RQ1_Frozen_Mapping'!$D$2:$D$61,"Direct")</x:f>
        <x:v>12</x:v>
      </x:c>
      <x:c r="I3" s="3" t="str">
        <x:v>FINAL</x:v>
      </x:c>
    </x:row>
    <x:row r="4" ht="72" customHeight="1">
      <x:c r="A4" s="7" t="str">
        <x:v>A1</x:v>
      </x:c>
      <x:c r="B4" s="7" t="str">
        <x:v>Opportunity Identification</x:v>
      </x:c>
      <x:c r="C4" s="7" t="str">
        <x:v>Clone-based Opportunity Identification</x:v>
      </x:c>
      <x:c r="D4" s="7" t="str">
        <x:v>Identify duplicated code that is a candidate for refactoring.</x:v>
      </x:c>
      <x:c r="E4" s="7" t="str">
        <x:v>alert possible refactoring opportunity from cloning
identify and refactor Type-1/2/3 code clones using Extract Method
recommend Extract Method refactoring in real time
recommend clones for refactoring</x:v>
      </x:c>
      <x:c r="F4" s="7" t="str">
        <x:v>Exclude detection without refactoring linkage and comparative candidate prioritization.</x:v>
      </x:c>
      <x:c r="G4" s="7" t="str">
        <x:v>P19, P24</x:v>
      </x:c>
      <x:c r="H4" s="8" t="n">
        <x:f>COUNTIFS('RQ1_Frozen_Mapping'!$C$2:$C$61,C4,'RQ1_Frozen_Mapping'!$D$2:$D$61,"Direct")</x:f>
        <x:v>2</x:v>
      </x:c>
      <x:c r="I4" s="7" t="str">
        <x:v>FINAL</x:v>
      </x:c>
    </x:row>
    <x:row r="5" ht="87" customHeight="1">
      <x:c r="A5" s="3" t="str">
        <x:v>A1</x:v>
      </x:c>
      <x:c r="B5" s="3" t="str">
        <x:v>Opportunity Identification</x:v>
      </x:c>
      <x:c r="C5" s="3" t="str">
        <x:v>Operation-specific Opportunity Identification</x:v>
      </x:c>
      <x:c r="D5" s="3" t="str">
        <x:v>Identify code locations suitable for an already specified refactoring operation.</x:v>
      </x:c>
      <x:c r="E5" s="3" t="str">
        <x:v>identify Extract Method candidates
predict Extract Method refactoring
predict and recommend Extract Method refactoring
refine generated Extract Method suggestions
rename refactoring opportunity identification</x:v>
      </x:c>
      <x:c r="F5" s="3" t="str">
        <x:v>The operation is given; choosing an operation or destination belongs to A2.</x:v>
      </x:c>
      <x:c r="G5" s="3" t="str">
        <x:v>P14, P16, P22</x:v>
      </x:c>
      <x:c r="H5" s="9" t="n">
        <x:f>COUNTIFS('RQ1_Frozen_Mapping'!$C$2:$C$61,C5,'RQ1_Frozen_Mapping'!$D$2:$D$61,"Direct")</x:f>
        <x:v>3</x:v>
      </x:c>
      <x:c r="I5" s="3" t="str">
        <x:v>FINAL</x:v>
      </x:c>
    </x:row>
    <x:row r="6" ht="56" customHeight="1">
      <x:c r="A6" s="7" t="str">
        <x:v>A1</x:v>
      </x:c>
      <x:c r="B6" s="7" t="str">
        <x:v>Opportunity Identification</x:v>
      </x:c>
      <x:c r="C6" s="7" t="str">
        <x:v>Refactoring Need Prediction</x:v>
      </x:c>
      <x:c r="D6" s="7" t="str">
        <x:v>Predict prospective refactoring need, probability, or timing for a software entity.</x:v>
      </x:c>
      <x:c r="E6" s="7" t="str">
        <x:v>predict refactoring activities from commit and code metrics
prediction stage</x:v>
      </x:c>
      <x:c r="F6" s="7" t="str">
        <x:v>Exclude retrospective commit classification and ordinary current-location identification.</x:v>
      </x:c>
      <x:c r="G6" s="7" t="str">
        <x:v>P15</x:v>
      </x:c>
      <x:c r="H6" s="8" t="n">
        <x:f>COUNTIFS('RQ1_Frozen_Mapping'!$C$2:$C$61,C6,'RQ1_Frozen_Mapping'!$D$2:$D$61,"Direct")</x:f>
        <x:v>1</x:v>
      </x:c>
      <x:c r="I6" s="7" t="str">
        <x:v>FINAL</x:v>
      </x:c>
    </x:row>
    <x:row r="7" ht="192" customHeight="1">
      <x:c r="A7" s="3" t="str">
        <x:v>A2</x:v>
      </x:c>
      <x:c r="B7" s="3" t="str">
        <x:v>Refactoring Selection</x:v>
      </x:c>
      <x:c r="C7" s="3" t="str">
        <x:v>Refactoring Operation Selection</x:v>
      </x:c>
      <x:c r="D7" s="3" t="str">
        <x:v>Recommend or choose a refactoring operation or its destination for an identified candidate.</x:v>
      </x:c>
      <x:c r="E7" s="3" t="str">
        <x:v>automated detection and correction of refactoring opportunities
detect feature envy and recommend methods to appropriate classes
predict and recommend Extract Method refactoring
provide refactoring suggestions for identified code smells
recommend Extract Method in an industrial setting
recommend Extract Method refactoring in real time
recommendation stage
refactoring opportunity identification and type selection
refactoring type selection
refine generated Extract Method suggestions
remove bad smells from code
suggest an automatic Move Method refactoring</x:v>
      </x:c>
      <x:c r="F7" s="3" t="str">
        <x:v>Exclude locating candidates only and selecting among alternative candidate locations.</x:v>
      </x:c>
      <x:c r="G7" s="3" t="str">
        <x:v>P7, P14, P15, P16, P18, P19, P20, P22</x:v>
      </x:c>
      <x:c r="H7" s="9" t="n">
        <x:f>COUNTIFS('RQ1_Frozen_Mapping'!$C$2:$C$61,C7,'RQ1_Frozen_Mapping'!$D$2:$D$61,"Direct")</x:f>
        <x:v>8</x:v>
      </x:c>
      <x:c r="I7" s="3" t="str">
        <x:v>FINAL</x:v>
      </x:c>
    </x:row>
    <x:row r="8" ht="117" customHeight="1">
      <x:c r="A8" s="7" t="str">
        <x:v>A2</x:v>
      </x:c>
      <x:c r="B8" s="7" t="str">
        <x:v>Refactoring Selection</x:v>
      </x:c>
      <x:c r="C8" s="7" t="str">
        <x:v>Refactoring Candidate Prioritization</x:v>
      </x:c>
      <x:c r="D8" s="7" t="str">
        <x:v>Rank, schedule, or defer refactoring candidates according to their relative priority.</x:v>
      </x:c>
      <x:c r="E8" s="7" t="str">
        <x:v>assess smell severity to prioritize refactoring efforts
classify code smell intensity to prioritize refactoring efforts
code smell prioritization for scheduling refactoring operations
determine clone life expectancy
prepare a schedule for clone refactoring
rank and prioritize refactoring opportunities
recommend clones for refactoring</x:v>
      </x:c>
      <x:c r="F8" s="7" t="str">
        <x:v>A1 determines candidate eligibility; this task determines relative priority or scheduling.</x:v>
      </x:c>
      <x:c r="G8" s="7" t="str">
        <x:v>P7, P19, P20, P25</x:v>
      </x:c>
      <x:c r="H8" s="8" t="n">
        <x:f>COUNTIFS('RQ1_Frozen_Mapping'!$C$2:$C$61,C8,'RQ1_Frozen_Mapping'!$D$2:$D$61,"Direct")</x:f>
        <x:v>4</x:v>
      </x:c>
      <x:c r="I8" s="7" t="str">
        <x:v>FINAL</x:v>
      </x:c>
    </x:row>
    <x:row r="9" ht="87" customHeight="1">
      <x:c r="A9" s="3" t="str">
        <x:v>A2</x:v>
      </x:c>
      <x:c r="B9" s="3" t="str">
        <x:v>Refactoring Selection</x:v>
      </x:c>
      <x:c r="C9" s="3" t="str">
        <x:v>Refactoring Sequence Optimization</x:v>
      </x:c>
      <x:c r="D9" s="3" t="str">
        <x:v>Select and order a combination of refactoring operations as a refactoring solution.</x:v>
      </x:c>
      <x:c r="E9" s="3" t="str">
        <x:v>generate a sequence of refactorings using search-based techniques
multi-objective software refactoring
recommend composite refactorings and their order
search-based refactoring sequence for testability
select a sequence of refactoring techniques</x:v>
      </x:c>
      <x:c r="F9" s="3" t="str">
        <x:v>Exclude applying a selected sequence and ranking independent candidate entities.</x:v>
      </x:c>
      <x:c r="G9" s="3" t="str">
        <x:v>P2, P3, P5, P13, P17</x:v>
      </x:c>
      <x:c r="H9" s="9" t="n">
        <x:f>COUNTIFS('RQ1_Frozen_Mapping'!$C$2:$C$61,C9,'RQ1_Frozen_Mapping'!$D$2:$D$61,"Direct")</x:f>
        <x:v>5</x:v>
      </x:c>
      <x:c r="I9" s="3" t="str">
        <x:v>FINAL</x:v>
      </x:c>
    </x:row>
    <x:row r="10" ht="57" customHeight="1">
      <x:c r="A10" s="7" t="str">
        <x:v>A3</x:v>
      </x:c>
      <x:c r="B10" s="7" t="str">
        <x:v>Behavior Preservation</x:v>
      </x:c>
      <x:c r="C10" s="7" t="str">
        <x:v>Static Behavior Preservation Verification</x:v>
      </x:c>
      <x:c r="D10" s="7" t="str">
        <x:v>Check behavioral preservation using static semantic reasoning or transformation preconditions.</x:v>
      </x:c>
      <x:c r="E10" s="7" t="str">
        <x:v>detect behavioral inconsistencies and behavior-preservation violations during model refactoring
preserve behavior while applying search-based refactorings</x:v>
      </x:c>
      <x:c r="F10" s="7" t="str">
        <x:v>Exclude general code quality scoring and consistency of unrelated artifacts.</x:v>
      </x:c>
      <x:c r="G10" s="7" t="str">
        <x:v>P2, P9</x:v>
      </x:c>
      <x:c r="H10" s="8" t="n">
        <x:f>COUNTIFS('RQ1_Frozen_Mapping'!$C$2:$C$61,C10,'RQ1_Frozen_Mapping'!$D$2:$D$61,"Direct")</x:f>
        <x:v>2</x:v>
      </x:c>
      <x:c r="I10" s="7" t="str">
        <x:v>FINAL</x:v>
      </x:c>
    </x:row>
    <x:row r="11" ht="57" customHeight="1">
      <x:c r="A11" s="3" t="str">
        <x:v>A4</x:v>
      </x:c>
      <x:c r="B11" s="3" t="str">
        <x:v>Refactoring Application</x:v>
      </x:c>
      <x:c r="C11" s="3" t="str">
        <x:v>General Refactoring Application</x:v>
      </x:c>
      <x:c r="D11" s="3" t="str">
        <x:v>Generate or execute refactoring changes when the evidence does not identify their scope or composition.</x:v>
      </x:c>
      <x:c r="E11" s="3" t="str">
        <x:v>adapt SLMs for maintenance/refactoring
automated detection and correction of refactoring opportunities
automatically apply refactorings</x:v>
      </x:c>
      <x:c r="F11" s="3" t="str">
        <x:v>Residual label only; model adaptation or recommendations alone do not qualify.</x:v>
      </x:c>
      <x:c r="G11" s="3" t="str">
        <x:v>P2, P7</x:v>
      </x:c>
      <x:c r="H11" s="9" t="n">
        <x:f>COUNTIFS('RQ1_Frozen_Mapping'!$C$2:$C$61,C11,'RQ1_Frozen_Mapping'!$D$2:$D$61,"Direct")</x:f>
        <x:v>2</x:v>
      </x:c>
      <x:c r="I11" s="3" t="str">
        <x:v>FINAL</x:v>
      </x:c>
    </x:row>
    <x:row r="12" ht="192" customHeight="1">
      <x:c r="A12" s="7" t="str">
        <x:v>A4</x:v>
      </x:c>
      <x:c r="B12" s="7" t="str">
        <x:v>Refactoring Application</x:v>
      </x:c>
      <x:c r="C12" s="7" t="str">
        <x:v>Code-level Refactoring Transformation</x:v>
      </x:c>
      <x:c r="D12" s="7" t="str">
        <x:v>Generate or apply a code-level refactoring change without an explicitly coordinated sequence or architectural decomposition.</x:v>
      </x:c>
      <x:c r="E12" s="7" t="str">
        <x:v>Extract Method and other within-class refactorings
Move Method refactoring with semantic analysis and retrieval
automate rename refactoring
code refactoring application
code refactoring suggestions and synthesized transforms
detect code smells and subsequently refactor
generate code refactorings
identify and refactor Type-1/2/3 code clones using Extract Method
refactoring applied; refactoring performed automatically
refine generated Extract Method suggestions
remove bad smells from code
transform code snippets across programming languages</x:v>
      </x:c>
      <x:c r="F12" s="7" t="str">
        <x:v>Use RA-3 for an explicit composite and RA-4 for architectural reorganization of the same evidence.</x:v>
      </x:c>
      <x:c r="G12" s="7" t="str">
        <x:v>P3, P14, P18, P21, P22, P24</x:v>
      </x:c>
      <x:c r="H12" s="8" t="n">
        <x:f>COUNTIFS('RQ1_Frozen_Mapping'!$C$2:$C$61,C12,'RQ1_Frozen_Mapping'!$D$2:$D$61,"Direct")</x:f>
        <x:v>6</x:v>
      </x:c>
      <x:c r="I12" s="7" t="str">
        <x:v>FINAL</x:v>
      </x:c>
    </x:row>
    <x:row r="13" ht="72" customHeight="1">
      <x:c r="A13" s="3" t="str">
        <x:v>A4</x:v>
      </x:c>
      <x:c r="B13" s="3" t="str">
        <x:v>Refactoring Application</x:v>
      </x:c>
      <x:c r="C13" s="3" t="str">
        <x:v>Composite Refactoring Application</x:v>
      </x:c>
      <x:c r="D13" s="3" t="str">
        <x:v>Execute coordinated multiple refactoring operations or an explicitly iterative refactoring sequence.</x:v>
      </x:c>
      <x:c r="E13" s="3" t="str">
        <x:v>application characteristics describe how and when a composite was applied
iterative refactoring to reduce cyclomatic complexity
search-based refactoring sequence for testability</x:v>
      </x:c>
      <x:c r="F13" s="3" t="str">
        <x:v>Exclude sequence search without execution; architectural decomposition uses RA-4 for the same evidence.</x:v>
      </x:c>
      <x:c r="G13" s="3" t="str">
        <x:v>P13, P17, P22</x:v>
      </x:c>
      <x:c r="H13" s="9" t="n">
        <x:f>COUNTIFS('RQ1_Frozen_Mapping'!$C$2:$C$61,C13,'RQ1_Frozen_Mapping'!$D$2:$D$61,"Direct")</x:f>
        <x:v>3</x:v>
      </x:c>
      <x:c r="I13" s="3" t="str">
        <x:v>FINAL</x:v>
      </x:c>
    </x:row>
    <x:row r="14" ht="57" customHeight="1">
      <x:c r="A14" s="7" t="str">
        <x:v>A4</x:v>
      </x:c>
      <x:c r="B14" s="7" t="str">
        <x:v>Refactoring Application</x:v>
      </x:c>
      <x:c r="C14" s="7" t="str">
        <x:v>Architectural Restructuring</x:v>
      </x:c>
      <x:c r="D14" s="7" t="str">
        <x:v>Apply architectural reorganization or decompose a monolith into modules or services.</x:v>
      </x:c>
      <x:c r="E14" s="7" t="str">
        <x:v>architecture/package restructuring
microservice decomposition
monolith decomposition</x:v>
      </x:c>
      <x:c r="F14" s="7" t="str">
        <x:v>Class-level scope alone is insufficient; ordinary local code changes use RA-2.</x:v>
      </x:c>
      <x:c r="G14" s="7" t="str">
        <x:v>P7, P14</x:v>
      </x:c>
      <x:c r="H14" s="8" t="n">
        <x:f>COUNTIFS('RQ1_Frozen_Mapping'!$C$2:$C$61,C14,'RQ1_Frozen_Mapping'!$D$2:$D$61,"Direct")</x:f>
        <x:v>2</x:v>
      </x:c>
      <x:c r="I14" s="7" t="str">
        <x:v>FINAL</x:v>
      </x:c>
    </x:row>
    <x:row r="15" ht="117" customHeight="1">
      <x:c r="A15" s="3" t="str">
        <x:v>A5</x:v>
      </x:c>
      <x:c r="B15" s="3" t="str">
        <x:v>Quality Impact Assessment</x:v>
      </x:c>
      <x:c r="C15" s="3" t="str">
        <x:v>Software Quality Impact Assessment</x:v>
      </x:c>
      <x:c r="D15" s="3" t="str">
        <x:v>Assess the effect of applied refactoring on software quality characteristics.</x:v>
      </x:c>
      <x:c r="E15" s="3" t="str">
        <x:v>effects of applying composite refactoring on software projects
evaluate improved artifact quality with metrics
iterative refactoring to reduce cyclomatic complexity
multi-objective software refactoring
report benefits and software metrics associated with refactoring techniques
search-based refactoring sequence for testability</x:v>
      </x:c>
      <x:c r="F15" s="3" t="str">
        <x:v>Exclude optimization objectives alone, detector accuracy and refactoring-engine defect counts.</x:v>
      </x:c>
      <x:c r="G15" s="3" t="str">
        <x:v>P2, P17, P22</x:v>
      </x:c>
      <x:c r="H15" s="9" t="n">
        <x:f>COUNTIFS('RQ1_Frozen_Mapping'!$C$2:$C$61,C15,'RQ1_Frozen_Mapping'!$D$2:$D$61,"Direct")</x:f>
        <x:v>3</x:v>
      </x:c>
      <x:c r="I15" s="3" t="str">
        <x:v>FINAL</x:v>
      </x:c>
    </x:row>
    <x:row r="16" ht="56" customHeight="1">
      <x:c r="A16" s="7" t="str">
        <x:v>A5</x:v>
      </x:c>
      <x:c r="B16" s="7" t="str">
        <x:v>Quality Impact Assessment</x:v>
      </x:c>
      <x:c r="C16" s="7" t="str">
        <x:v>Process Impact Assessment</x:v>
      </x:c>
      <x:c r="D16" s="7" t="str">
        <x:v>Assess the effect of applied refactoring on development or testing effort, productivity, time, or cost.</x:v>
      </x:c>
      <x:c r="E16" s="7" t="str">
        <x:v>search-based refactoring sequence for testability</x:v>
      </x:c>
      <x:c r="F16" s="7" t="str">
        <x:v>Exclude software quality attributes and optimization goals without impact evidence.</x:v>
      </x:c>
      <x:c r="G16" s="7" t="str">
        <x:v>P17</x:v>
      </x:c>
      <x:c r="H16" s="8" t="n">
        <x:f>COUNTIFS('RQ1_Frozen_Mapping'!$C$2:$C$61,C16,'RQ1_Frozen_Mapping'!$D$2:$D$61,"Direct")</x:f>
        <x:v>1</x:v>
      </x:c>
      <x:c r="I16" s="7" t="str">
        <x:v>FINAL</x:v>
      </x:c>
    </x:row>
    <x:row r="17" ht="57" customHeight="1">
      <x:c r="A17" s="3" t="str">
        <x:v>A6</x:v>
      </x:c>
      <x:c r="B17" s="3" t="str">
        <x:v>Artifact Consistency Maintenance</x:v>
      </x:c>
      <x:c r="C17" s="3" t="str">
        <x:v>Cross-artifact Consistency Maintenance</x:v>
      </x:c>
      <x:c r="D17" s="3" t="str">
        <x:v>Maintain consistency between refactored code or models and related software artifacts.</x:v>
      </x:c>
      <x:c r="E17" s="3" t="str">
        <x:v>maintain consistency between class and activity diagrams using a refactoring sequence</x:v>
      </x:c>
      <x:c r="F17" s="3" t="str">
        <x:v>Requires an AI-supported coordination or update across distinct related artifacts; exclude documentation classification and within-artifact behavioral equivalence.</x:v>
      </x:c>
      <x:c r="G17" s="3" t="str">
        <x:v>P2</x:v>
      </x:c>
      <x:c r="H17" s="9" t="n">
        <x:f>COUNTIFS('RQ1_Frozen_Mapping'!$C$2:$C$61,C17,'RQ1_Frozen_Mapping'!$D$2:$D$61,"Direct")</x:f>
        <x:v>1</x:v>
      </x:c>
      <x:c r="I17" s="3" t="str">
        <x:v>FINAL</x:v>
      </x:c>
    </x:row>
  </x:sheetData>
  <x:dataValidations count="1">
    <x:dataValidation type="list" sqref="I2:I17">
      <x:formula1>"FINAL"</x:formula1>
    </x:dataValidation>
  </x:dataValidations>
  <x:pageMargins left="0.7" right="0.7" top="0.75" bottom="0.75" header="0.3" footer="0.3"/>
  <x:tableParts count="1">
    <x:tablePart xmlns:r="http://schemas.openxmlformats.org/officeDocument/2006/relationships" r:id="R1370960ad74840a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7" hidden="0" customWidth="1"/>
    <x:col min="2" max="2" width="40" hidden="0" customWidth="1"/>
    <x:col min="3" max="3" width="15" hidden="0" customWidth="1"/>
    <x:col min="4" max="4" width="65" hidden="0" customWidth="1"/>
    <x:col min="5" max="5" width="90" hidden="0" customWidth="1"/>
    <x:col min="6" max="6" width="28" hidden="0" customWidth="1"/>
  </x:cols>
  <x:sheetData>
    <x:row r="1" ht="44" customHeight="1">
      <x:c r="A1" s="6" t="str">
        <x:v>Raw_Term</x:v>
      </x:c>
      <x:c r="B1" s="6" t="str">
        <x:v>Original_Activity</x:v>
      </x:c>
      <x:c r="C1" s="6" t="str">
        <x:v>Decision</x:v>
      </x:c>
      <x:c r="D1" s="6" t="str">
        <x:v>Canonical_Subtask</x:v>
      </x:c>
      <x:c r="E1" s="6" t="str">
        <x:v>Reason</x:v>
      </x:c>
      <x:c r="F1" s="6" t="str">
        <x:v>Affected_Studies</x:v>
      </x:c>
    </x:row>
    <x:row r="2" ht="57" customHeight="1">
      <x:c r="A2" s="7" t="str">
        <x:v>OI-2 — Smell-based opportunity detection</x:v>
      </x:c>
      <x:c r="B2" s="7" t="str">
        <x:v>Refactoring Opportunity Identification</x:v>
      </x:c>
      <x:c r="C2" s="7" t="str">
        <x:v>KEEP</x:v>
      </x:c>
      <x:c r="D2" s="7" t="str">
        <x:v>Smell-based Opportunity Identification</x:v>
      </x:c>
      <x:c r="E2" s="7" t="str">
        <x:v>Historical issue retained for audit; final manual disposition supersedes this earlier concern. AI-to-task linkage unresolved: E023 reports a refactoring activity but expressly says that the AI technique is not isolated.</x:v>
      </x:c>
      <x:c r="F2" s="7" t="str">
        <x:v>P8</x:v>
      </x:c>
    </x:row>
    <x:row r="3" ht="57" customHeight="1">
      <x:c r="A3" s="3" t="str">
        <x:v>OI-3 — Clone-based opportunity detection</x:v>
      </x:c>
      <x:c r="B3" s="3" t="str">
        <x:v>Refactoring Opportunity Identification</x:v>
      </x:c>
      <x:c r="C3" s="3" t="str">
        <x:v>EXCLUDE</x:v>
      </x:c>
      <x:c r="D3" s="3" t="str">
        <x:v>Clone-based Opportunity Identification</x:v>
      </x:c>
      <x:c r="E3" s="3" t="str">
        <x:v>Historical issue retained for audit; final manual disposition supersedes this earlier concern. AI linkage unresolved: PDF p.25 explicitly links clones to refactoring opportunities but lists cloning separately from machine learning.</x:v>
      </x:c>
      <x:c r="F3" s="3" t="str">
        <x:v>P7</x:v>
      </x:c>
    </x:row>
    <x:row r="4" ht="57" customHeight="1">
      <x:c r="A4" s="7" t="str">
        <x:v>OI-4 — Operation-specific candidate identification</x:v>
      </x:c>
      <x:c r="B4" s="7" t="str">
        <x:v>Refactoring Opportunity Identification</x:v>
      </x:c>
      <x:c r="C4" s="7" t="str">
        <x:v>KEEP</x:v>
      </x:c>
      <x:c r="D4" s="7" t="str">
        <x:v>Operation-specific Opportunity Identification</x:v>
      </x:c>
      <x:c r="E4" s="7" t="str">
        <x:v>Historical issue retained for audit; final manual disposition supersedes this earlier concern. A1 versus A2 name generation: PDF p.5 calls prediction of function names ROI, whereas Table 4 reports a rename-prediction model.</x:v>
      </x:c>
      <x:c r="F4" s="7" t="str">
        <x:v>P14</x:v>
      </x:c>
    </x:row>
    <x:row r="5" ht="72" customHeight="1">
      <x:c r="A5" s="3" t="str">
        <x:v>OI-5 — Architectural refactoring opportunity identification</x:v>
      </x:c>
      <x:c r="B5" s="3" t="str">
        <x:v>Refactoring Opportunity Identification</x:v>
      </x:c>
      <x:c r="C5" s="3" t="str">
        <x:v>EXCLUDE</x:v>
      </x:c>
      <x:c r="D5" s="3" t="str">
        <x:v>Architectural Opportunity Identification</x:v>
      </x:c>
      <x:c r="E5" s="3" t="str">
        <x:v>Historical issue retained for audit; final manual disposition supersedes this earlier concern. A1 versus A4 decomposition: E043 and Tables 4–5 describe partitioning a monolith into clusters, without identifying which architecture first needs refactoring.</x:v>
      </x:c>
      <x:c r="F5" s="3" t="str">
        <x:v>P14</x:v>
      </x:c>
    </x:row>
    <x:row r="6" ht="72" customHeight="1">
      <x:c r="A6" s="7" t="str">
        <x:v>OI-6 — Refactoring need/timing prediction</x:v>
      </x:c>
      <x:c r="B6" s="7" t="str">
        <x:v>Refactoring Opportunity Identification</x:v>
      </x:c>
      <x:c r="C6" s="7" t="str">
        <x:v>KEEP</x:v>
      </x:c>
      <x:c r="D6" s="7" t="str">
        <x:v>Refactoring Need Prediction</x:v>
      </x:c>
      <x:c r="E6" s="7" t="str">
        <x:v>Historical issue retained for audit; final manual disposition supersedes this earlier concern. Prediction is not necessarily prospective: Table III reports Prediction but does not define a future horizon or distinguish prospective need from historical refactoring classification.</x:v>
      </x:c>
      <x:c r="F6" s="7" t="str">
        <x:v>P15</x:v>
      </x:c>
    </x:row>
    <x:row r="7" ht="72" customHeight="1">
      <x:c r="A7" s="3" t="str">
        <x:v>OI-6 — Refactoring need/timing prediction</x:v>
      </x:c>
      <x:c r="B7" s="3" t="str">
        <x:v>Refactoring Opportunity Identification</x:v>
      </x:c>
      <x:c r="C7" s="3" t="str">
        <x:v>EXCLUDE</x:v>
      </x:c>
      <x:c r="D7" s="3" t="str">
        <x:v>Refactoring Need Prediction</x:v>
      </x:c>
      <x:c r="E7" s="3" t="str">
        <x:v>Historical issue retained for audit; final manual disposition supersedes this earlier concern. Prediction versus retrospective classification: PDF pp.12–13 includes locating possible refactorings and classifying refactoring commits; E052 does not establish future timing.</x:v>
      </x:c>
      <x:c r="F7" s="3" t="str">
        <x:v>P16</x:v>
      </x:c>
    </x:row>
    <x:row r="8" ht="57" customHeight="1">
      <x:c r="A8" s="7" t="str">
        <x:v>RS-1 — Refactoring operation recommendation/selection</x:v>
      </x:c>
      <x:c r="B8" s="7" t="str">
        <x:v>Refactoring Selection</x:v>
      </x:c>
      <x:c r="C8" s="7" t="str">
        <x:v>EXCLUDE</x:v>
      </x:c>
      <x:c r="D8" s="7" t="str">
        <x:v>Refactoring Operation Selection</x:v>
      </x:c>
      <x:c r="E8" s="7" t="str">
        <x:v>Historical issue retained for audit; final manual disposition supersedes this earlier concern. A1/A2/A4 outputs not separated: E006 reports GA-based smell removal but does not isolate a choice of operation.</x:v>
      </x:c>
      <x:c r="F8" s="7" t="str">
        <x:v>P3</x:v>
      </x:c>
    </x:row>
    <x:row r="9" ht="57" customHeight="1">
      <x:c r="A9" s="3" t="str">
        <x:v>RS-1 — Refactoring operation recommendation/selection</x:v>
      </x:c>
      <x:c r="B9" s="3" t="str">
        <x:v>Refactoring Selection</x:v>
      </x:c>
      <x:c r="C9" s="3" t="str">
        <x:v>EXCLUDE</x:v>
      </x:c>
      <x:c r="D9" s="3" t="str">
        <x:v>Refactoring Operation Selection</x:v>
      </x:c>
      <x:c r="E9" s="3" t="str">
        <x:v>Historical issue retained for audit; final manual disposition supersedes this earlier concern. AI-to-task linkage unresolved: E024 lists smell-specific refactoring suggestions without isolating an AI method.</x:v>
      </x:c>
      <x:c r="F9" s="3" t="str">
        <x:v>P8</x:v>
      </x:c>
    </x:row>
    <x:row r="10" ht="72" customHeight="1">
      <x:c r="A10" s="7" t="str">
        <x:v>RS-2 — Candidate prioritization/ranking/scheduling</x:v>
      </x:c>
      <x:c r="B10" s="7" t="str">
        <x:v>Refactoring Selection</x:v>
      </x:c>
      <x:c r="C10" s="7" t="str">
        <x:v>EXCLUDE</x:v>
      </x:c>
      <x:c r="D10" s="7" t="str">
        <x:v>Refactoring Candidate Prioritization</x:v>
      </x:c>
      <x:c r="E10" s="7" t="str">
        <x:v>Historical issue retained for audit; final manual disposition supersedes this earlier concern. Future-work and version conflict: The 18-task table has RS-2, while the human-adjudicated table assigns E017 to A1; PDF p.42 primarily calls for prioritization research.</x:v>
      </x:c>
      <x:c r="F10" s="7" t="str">
        <x:v>P6</x:v>
      </x:c>
    </x:row>
    <x:row r="11" ht="72" customHeight="1">
      <x:c r="A11" s="3" t="str">
        <x:v>RS-2 — Candidate prioritization/ranking/scheduling</x:v>
      </x:c>
      <x:c r="B11" s="3" t="str">
        <x:v>Refactoring Selection</x:v>
      </x:c>
      <x:c r="C11" s="3" t="str">
        <x:v>KEEP</x:v>
      </x:c>
      <x:c r="D11" s="3" t="str">
        <x:v>Refactoring Candidate Prioritization</x:v>
      </x:c>
      <x:c r="E11" s="3" t="str">
        <x:v>Historical issue retained for audit; final manual disposition supersedes this earlier concern. Conflicting approved source versions: PDF p.5 explicitly reports intensity classification for prioritizing refactoring, but the manual table relocates E087 to A1.</x:v>
      </x:c>
      <x:c r="F11" s="3" t="str">
        <x:v>P25</x:v>
      </x:c>
    </x:row>
    <x:row r="12" ht="57" customHeight="1">
      <x:c r="A12" s="7" t="str">
        <x:v>BP-2 — Test-based/dynamic behavior validation</x:v>
      </x:c>
      <x:c r="B12" s="7" t="str">
        <x:v>Behavior Preservation</x:v>
      </x:c>
      <x:c r="C12" s="7" t="str">
        <x:v>EXCLUDE</x:v>
      </x:c>
      <x:c r="D12" s="7" t="str">
        <x:v>Dynamic Behavior Preservation Validation</x:v>
      </x:c>
      <x:c r="E12" s="7" t="str">
        <x:v>Historical issue retained for audit; final manual disposition supersedes this earlier concern. Testing label underspecified: Table III reports Testing but does not show that the tests validate behavioral equivalence of refactored programs.</x:v>
      </x:c>
      <x:c r="F12" s="7" t="str">
        <x:v>P15</x:v>
      </x:c>
    </x:row>
    <x:row r="13" ht="57" customHeight="1">
      <x:c r="A13" s="3" t="str">
        <x:v>BP-2 — Test-based/dynamic behavior validation</x:v>
      </x:c>
      <x:c r="B13" s="3" t="str">
        <x:v>Behavior Preservation</x:v>
      </x:c>
      <x:c r="C13" s="3" t="str">
        <x:v>EXCLUDE</x:v>
      </x:c>
      <x:c r="D13" s="3" t="str">
        <x:v>Dynamic Behavior Preservation Validation</x:v>
      </x:c>
      <x:c r="E13" s="3" t="str">
        <x:v>Historical issue retained for audit; final manual disposition supersedes this earlier concern. Tool validation versus behavior preservation: E080 reports refactoring-engine bug counts, not necessarily behavioral preservation violations.</x:v>
      </x:c>
      <x:c r="F13" s="3" t="str">
        <x:v>P22</x:v>
      </x:c>
    </x:row>
    <x:row r="14" ht="72" customHeight="1">
      <x:c r="A14" s="7" t="str">
        <x:v>RA-1 — General/unspecified automated refactoring</x:v>
      </x:c>
      <x:c r="B14" s="7" t="str">
        <x:v>Refactoring Application</x:v>
      </x:c>
      <x:c r="C14" s="7" t="str">
        <x:v>EXCLUDE</x:v>
      </x:c>
      <x:c r="D14" s="7" t="str">
        <x:v>General Refactoring Application</x:v>
      </x:c>
      <x:c r="E14" s="7" t="str">
        <x:v>Historical issue retained for audit; final manual disposition supersedes this earlier concern. Technique substituted for a task and version conflict: E061 lists PEFT methods, not a transformation output; the human-adjudicated table limits P18 to A1/A2.</x:v>
      </x:c>
      <x:c r="F14" s="7" t="str">
        <x:v>P18</x:v>
      </x:c>
    </x:row>
    <x:row r="15" ht="57" customHeight="1">
      <x:c r="A15" s="3" t="str">
        <x:v>RA-2 — Code-level refactoring transformation</x:v>
      </x:c>
      <x:c r="B15" s="3" t="str">
        <x:v>Refactoring Application</x:v>
      </x:c>
      <x:c r="C15" s="3" t="str">
        <x:v>EXCLUDE</x:v>
      </x:c>
      <x:c r="D15" s="3" t="str">
        <x:v>Code-level Refactoring Transformation</x:v>
      </x:c>
      <x:c r="E15" s="3" t="str">
        <x:v>Historical issue retained for audit; final manual disposition supersedes this earlier concern. Automation not equivalent to AI: E025 counts automatic tools, but no AI-to-application link is supplied.</x:v>
      </x:c>
      <x:c r="F15" s="3" t="str">
        <x:v>P8</x:v>
      </x:c>
    </x:row>
    <x:row r="16" ht="72" customHeight="1">
      <x:c r="A16" s="7" t="str">
        <x:v>RA-2 — Code-level refactoring transformation</x:v>
      </x:c>
      <x:c r="B16" s="7" t="str">
        <x:v>Refactoring Application</x:v>
      </x:c>
      <x:c r="C16" s="7" t="str">
        <x:v>KEEP</x:v>
      </x:c>
      <x:c r="D16" s="7" t="str">
        <x:v>Code-level Refactoring Transformation</x:v>
      </x:c>
      <x:c r="E16" s="7" t="str">
        <x:v>Historical issue retained for audit; final manual disposition supersedes this earlier concern. Conflicting approved source versions: E059 describes synthesized transforms, but the human-adjudicated table changes P18 to A1/A2 while the 18-task table retains A4.</x:v>
      </x:c>
      <x:c r="F16" s="7" t="str">
        <x:v>P18</x:v>
      </x:c>
    </x:row>
    <x:row r="17" ht="72" customHeight="1">
      <x:c r="A17" s="3" t="str">
        <x:v>QI-1 — Software quality impact assessment</x:v>
      </x:c>
      <x:c r="B17" s="3" t="str">
        <x:v>Quality Impact Assessment</x:v>
      </x:c>
      <x:c r="C17" s="3" t="str">
        <x:v>EXCLUDE</x:v>
      </x:c>
      <x:c r="D17" s="3" t="str">
        <x:v>Software Quality Impact Assessment</x:v>
      </x:c>
      <x:c r="E17" s="3" t="str">
        <x:v>Historical issue retained for audit; final manual disposition supersedes this earlier concern. Optimization objective versus impact evidence: E010–E015 list algorithms; PDF p.5 lists evaluation metrics but does not unambiguously bind quality effects to the coded applications.</x:v>
      </x:c>
      <x:c r="F17" s="3" t="str">
        <x:v>P5</x:v>
      </x:c>
    </x:row>
    <x:row r="18" ht="57" customHeight="1">
      <x:c r="A18" s="7" t="str">
        <x:v>QI-1 — Software quality impact assessment</x:v>
      </x:c>
      <x:c r="B18" s="7" t="str">
        <x:v>Quality Impact Assessment</x:v>
      </x:c>
      <x:c r="C18" s="7" t="str">
        <x:v>EXCLUDE</x:v>
      </x:c>
      <x:c r="D18" s="7" t="str">
        <x:v>Software Quality Impact Assessment</x:v>
      </x:c>
      <x:c r="E18" s="7" t="str">
        <x:v>Historical issue retained for audit; final manual disposition supersedes this earlier concern. AI impact attribution unresolved: E026 summarizes general refactoring benefits and metrics without isolating AI-supported transformations.</x:v>
      </x:c>
      <x:c r="F18" s="7" t="str">
        <x:v>P8</x:v>
      </x:c>
    </x:row>
    <x:row r="19" ht="57" customHeight="1">
      <x:c r="A19" s="3" t="str">
        <x:v>QI-1 — Software quality impact assessment</x:v>
      </x:c>
      <x:c r="B19" s="3" t="str">
        <x:v>Quality Impact Assessment</x:v>
      </x:c>
      <x:c r="C19" s="3" t="str">
        <x:v>EXCLUDE</x:v>
      </x:c>
      <x:c r="D19" s="3" t="str">
        <x:v>Software Quality Impact Assessment</x:v>
      </x:c>
      <x:c r="E19" s="3" t="str">
        <x:v>Historical issue retained for audit; final manual disposition supersedes this earlier concern. AI impact attribution unresolved: E037 explicitly says that the effect synthesis is not tied to an AI technique.</x:v>
      </x:c>
      <x:c r="F19" s="3" t="str">
        <x:v>P13</x:v>
      </x:c>
    </x:row>
    <x:row r="20" ht="72" customHeight="1">
      <x:c r="A20" s="7" t="str">
        <x:v>AC-1 — Related-artifact consistency maintenance</x:v>
      </x:c>
      <x:c r="B20" s="7" t="str">
        <x:v>Artifact Consistency Maintenance</x:v>
      </x:c>
      <x:c r="C20" s="7" t="str">
        <x:v>EXCLUDE</x:v>
      </x:c>
      <x:c r="D20" s="7" t="str">
        <x:v>Cross-artifact Consistency Maintenance</x:v>
      </x:c>
      <x:c r="E20" s="7" t="str">
        <x:v>Historical issue retained for audit; final manual disposition supersedes this earlier concern. Behavior consistency versus cross-artifact consistency: E027 concerns behavioral consistency during model refactoring; PDF p.11 discusses distinct model-driven approaches nearby.</x:v>
      </x:c>
      <x:c r="F20" s="7" t="str">
        <x:v>P9</x:v>
      </x:c>
    </x:row>
    <x:row r="21" ht="57" customHeight="1">
      <x:c r="A21" s="3" t="str">
        <x:v>AC-1 — Related-artifact consistency maintenance</x:v>
      </x:c>
      <x:c r="B21" s="3" t="str">
        <x:v>Artifact Consistency Maintenance</x:v>
      </x:c>
      <x:c r="C21" s="3" t="str">
        <x:v>EXCLUDE</x:v>
      </x:c>
      <x:c r="D21" s="3" t="str">
        <x:v>Cross-artifact Consistency Maintenance</x:v>
      </x:c>
      <x:c r="E21" s="3" t="str">
        <x:v>Historical issue retained for audit; final manual disposition supersedes this earlier concern. Documentation label underspecified: Table III reports Documentation but does not establish post-refactoring consistency across artifacts.</x:v>
      </x:c>
      <x:c r="F21" s="3" t="str">
        <x:v>P15</x:v>
      </x:c>
    </x:row>
    <x:row r="22" ht="72" customHeight="1">
      <x:c r="A22" s="7" t="str">
        <x:v>code smell prediction/detection</x:v>
      </x:c>
      <x:c r="B22" s="7" t="str">
        <x:v>Unclear</x:v>
      </x:c>
      <x:c r="C22" s="7" t="str">
        <x:v>KEEP</x:v>
      </x:c>
      <x:c r="D22" s="7" t="str">
        <x:v>Smell-based Opportunity Identification</x:v>
      </x:c>
      <x:c r="E22" s="7" t="str">
        <x:v>Historical issue retained for audit; final manual disposition supersedes this earlier concern. Manual version assigns P6 to A1, but current taxonomy excludes E016 and includes only RS-2. Confirm the AI-to-refactoring opportunity linkage and authoritative version.</x:v>
      </x:c>
      <x:c r="F22" s="7" t="str">
        <x:v>P6</x:v>
      </x:c>
    </x:row>
    <x:row r="23" ht="57" customHeight="1">
      <x:c r="A23" s="3" t="str">
        <x:v>LLM-driven clone detection</x:v>
      </x:c>
      <x:c r="B23" s="3" t="str">
        <x:v>Unclear</x:v>
      </x:c>
      <x:c r="C23" s="3" t="str">
        <x:v>KEEP</x:v>
      </x:c>
      <x:c r="D23" s="3" t="str">
        <x:v>Clone-based Opportunity Identification</x:v>
      </x:c>
      <x:c r="E23" s="3" t="str">
        <x:v>Historical issue retained for audit; final manual disposition supersedes this earlier concern. Most model rows are detection-only; retain only reviewed methods with an explicit refactoring linkage, not the full model inventory.</x:v>
      </x:c>
      <x:c r="F23" s="3" t="str">
        <x:v>P24</x:v>
      </x:c>
    </x:row>
    <x:row r="24" ht="72" customHeight="1">
      <x:c r="A24" s="7" t="str">
        <x:v>software model refactoring / early quality improvement</x:v>
      </x:c>
      <x:c r="B24" s="7" t="str">
        <x:v>Unclear</x:v>
      </x:c>
      <x:c r="C24" s="7" t="str">
        <x:v>KEEP</x:v>
      </x:c>
      <x:c r="D24" s="7" t="str">
        <x:v>Architectural Opportunity Identification</x:v>
      </x:c>
      <x:c r="E24" s="7" t="str">
        <x:v>Historical issue retained for audit; final manual disposition supersedes this earlier concern. Model refactoring is inferred from a cited title; inspect a substantive description before determining the activity. The manual version assigns A1 without resolving this detail.</x:v>
      </x:c>
      <x:c r="F24" s="7" t="str">
        <x:v>P25</x:v>
      </x:c>
    </x:row>
    <x:row r="25" ht="56" customHeight="1">
      <x:c r="A25" s="3" t="str">
        <x:v>OI-1 — General/unspecified opportunity identification</x:v>
      </x:c>
      <x:c r="B25" s="3" t="str">
        <x:v>Refactoring Opportunity Identification</x:v>
      </x:c>
      <x:c r="C25" s="3" t="str">
        <x:v>RENAME</x:v>
      </x:c>
      <x:c r="D25" s="3" t="str">
        <x:v>General Refactoring Opportunity Identification</x:v>
      </x:c>
      <x:c r="E25" s="3" t="str">
        <x:v>统一为任务名词短语并收紧最相近边界；不因频次高低合并。D1/D2/D3/D5=PASS，D4=PASS。</x:v>
      </x:c>
      <x:c r="F25" s="3" t="str">
        <x:v>P1, P7, P14, P15, P21</x:v>
      </x:c>
    </x:row>
    <x:row r="26" ht="56" customHeight="1">
      <x:c r="A26" s="7" t="str">
        <x:v>OI-2 — Smell-based opportunity detection</x:v>
      </x:c>
      <x:c r="B26" s="7" t="str">
        <x:v>Refactoring Opportunity Identification</x:v>
      </x:c>
      <x:c r="C26" s="7" t="str">
        <x:v>RENAME</x:v>
      </x:c>
      <x:c r="D26" s="7" t="str">
        <x:v>Smell-based Opportunity Identification</x:v>
      </x:c>
      <x:c r="E26" s="7" t="str">
        <x:v>统一为任务名词短语并收紧最相近边界；不因频次高低合并。D1/D2/D3/D5=PASS，D4=historical pending（见Manual_Review）。</x:v>
      </x:c>
      <x:c r="F26" s="7" t="str">
        <x:v>P3, P4, P8, P10, P11, P12, P18, P21, P23, P25</x:v>
      </x:c>
    </x:row>
    <x:row r="27" ht="56" customHeight="1">
      <x:c r="A27" s="3" t="str">
        <x:v>OI-3 — Clone-based opportunity detection</x:v>
      </x:c>
      <x:c r="B27" s="3" t="str">
        <x:v>Refactoring Opportunity Identification</x:v>
      </x:c>
      <x:c r="C27" s="3" t="str">
        <x:v>RENAME</x:v>
      </x:c>
      <x:c r="D27" s="3" t="str">
        <x:v>Clone-based Opportunity Identification</x:v>
      </x:c>
      <x:c r="E27" s="3" t="str">
        <x:v>统一为任务名词短语并收紧最相近边界；不因频次高低合并。D1/D2/D3/D5=PASS，D4=historical pending（见Manual_Review）。</x:v>
      </x:c>
      <x:c r="F27" s="3" t="str">
        <x:v>P7, P19, P24</x:v>
      </x:c>
    </x:row>
    <x:row r="28" ht="56" customHeight="1">
      <x:c r="A28" s="7" t="str">
        <x:v>OI-4 — Operation-specific candidate identification</x:v>
      </x:c>
      <x:c r="B28" s="7" t="str">
        <x:v>Refactoring Opportunity Identification</x:v>
      </x:c>
      <x:c r="C28" s="7" t="str">
        <x:v>RENAME</x:v>
      </x:c>
      <x:c r="D28" s="7" t="str">
        <x:v>Operation-specific Opportunity Identification</x:v>
      </x:c>
      <x:c r="E28" s="7" t="str">
        <x:v>统一为任务名词短语并收紧最相近边界；不因频次高低合并。D1/D2/D3/D5=PASS，D4=historical pending（见Manual_Review）。</x:v>
      </x:c>
      <x:c r="F28" s="7" t="str">
        <x:v>P14, P16, P22</x:v>
      </x:c>
    </x:row>
    <x:row r="29" ht="56" customHeight="1">
      <x:c r="A29" s="3" t="str">
        <x:v>OI-5 — Architectural refactoring opportunity identification</x:v>
      </x:c>
      <x:c r="B29" s="3" t="str">
        <x:v>Refactoring Opportunity Identification</x:v>
      </x:c>
      <x:c r="C29" s="3" t="str">
        <x:v>RENAME</x:v>
      </x:c>
      <x:c r="D29" s="3" t="str">
        <x:v>Architectural Opportunity Identification</x:v>
      </x:c>
      <x:c r="E29" s="3" t="str">
        <x:v>统一为任务名词短语并收紧最相近边界；不因频次高低合并。D1/D2/D3/D5=PASS，D4=historical pending（见Manual_Review）。</x:v>
      </x:c>
      <x:c r="F29" s="3" t="str">
        <x:v>P14</x:v>
      </x:c>
    </x:row>
    <x:row r="30" ht="56" customHeight="1">
      <x:c r="A30" s="7" t="str">
        <x:v>OI-6 — Refactoring need/timing prediction</x:v>
      </x:c>
      <x:c r="B30" s="7" t="str">
        <x:v>Refactoring Opportunity Identification</x:v>
      </x:c>
      <x:c r="C30" s="7" t="str">
        <x:v>RENAME</x:v>
      </x:c>
      <x:c r="D30" s="7" t="str">
        <x:v>Refactoring Need Prediction</x:v>
      </x:c>
      <x:c r="E30" s="7" t="str">
        <x:v>统一为任务名词短语并收紧最相近边界；不因频次高低合并。D1/D2/D3/D5=PASS，D4=historical pending（见Manual_Review）。</x:v>
      </x:c>
      <x:c r="F30" s="7" t="str">
        <x:v>P15, P16</x:v>
      </x:c>
    </x:row>
    <x:row r="31" ht="56" customHeight="1">
      <x:c r="A31" s="3" t="str">
        <x:v>RS-1 — Refactoring operation recommendation/selection</x:v>
      </x:c>
      <x:c r="B31" s="3" t="str">
        <x:v>Refactoring Selection</x:v>
      </x:c>
      <x:c r="C31" s="3" t="str">
        <x:v>RENAME</x:v>
      </x:c>
      <x:c r="D31" s="3" t="str">
        <x:v>Refactoring Operation Selection</x:v>
      </x:c>
      <x:c r="E31" s="3" t="str">
        <x:v>统一为任务名词短语并收紧最相近边界；不因频次高低合并。D1/D2/D3/D5=PASS，D4=historical pending（见Manual_Review）。</x:v>
      </x:c>
      <x:c r="F31" s="3" t="str">
        <x:v>P3, P7, P8, P14, P15, P16, P18, P19, P20, P22</x:v>
      </x:c>
    </x:row>
    <x:row r="32" ht="56" customHeight="1">
      <x:c r="A32" s="7" t="str">
        <x:v>RS-2 — Candidate prioritization/ranking/scheduling</x:v>
      </x:c>
      <x:c r="B32" s="7" t="str">
        <x:v>Refactoring Selection</x:v>
      </x:c>
      <x:c r="C32" s="7" t="str">
        <x:v>RENAME</x:v>
      </x:c>
      <x:c r="D32" s="7" t="str">
        <x:v>Refactoring Candidate Prioritization</x:v>
      </x:c>
      <x:c r="E32" s="7" t="str">
        <x:v>统一为任务名词短语并收紧最相近边界；不因频次高低合并。D1/D2/D3/D5=PASS，D4=historical pending（见Manual_Review）。</x:v>
      </x:c>
      <x:c r="F32" s="7" t="str">
        <x:v>P6, P7, P19, P20, P25</x:v>
      </x:c>
    </x:row>
    <x:row r="33" ht="56" customHeight="1">
      <x:c r="A33" s="3" t="str">
        <x:v>RS-3 — Refactoring sequence/solution optimization</x:v>
      </x:c>
      <x:c r="B33" s="3" t="str">
        <x:v>Refactoring Selection</x:v>
      </x:c>
      <x:c r="C33" s="3" t="str">
        <x:v>RENAME</x:v>
      </x:c>
      <x:c r="D33" s="3" t="str">
        <x:v>Refactoring Sequence Optimization</x:v>
      </x:c>
      <x:c r="E33" s="3" t="str">
        <x:v>统一为任务名词短语并收紧最相近边界；不因频次高低合并。D1/D2/D3/D5=PASS，D4=PASS。</x:v>
      </x:c>
      <x:c r="F33" s="3" t="str">
        <x:v>P2, P3, P5, P13, P17</x:v>
      </x:c>
    </x:row>
    <x:row r="34" ht="56" customHeight="1">
      <x:c r="A34" s="7" t="str">
        <x:v>BP-1 — Static/semantic/precondition-based preservation</x:v>
      </x:c>
      <x:c r="B34" s="7" t="str">
        <x:v>Behavior Preservation</x:v>
      </x:c>
      <x:c r="C34" s="7" t="str">
        <x:v>RENAME</x:v>
      </x:c>
      <x:c r="D34" s="7" t="str">
        <x:v>Static Behavior Preservation Verification</x:v>
      </x:c>
      <x:c r="E34" s="7" t="str">
        <x:v>统一为任务名词短语并收紧最相近边界；不因频次高低合并。D1/D2/D3/D5=PASS，D4=PASS。</x:v>
      </x:c>
      <x:c r="F34" s="7" t="str">
        <x:v>P2, P9</x:v>
      </x:c>
    </x:row>
    <x:row r="35" ht="56" customHeight="1">
      <x:c r="A35" s="3" t="str">
        <x:v>BP-2 — Test-based/dynamic behavior validation</x:v>
      </x:c>
      <x:c r="B35" s="3" t="str">
        <x:v>Behavior Preservation</x:v>
      </x:c>
      <x:c r="C35" s="3" t="str">
        <x:v>RENAME</x:v>
      </x:c>
      <x:c r="D35" s="3" t="str">
        <x:v>Dynamic Behavior Preservation Validation</x:v>
      </x:c>
      <x:c r="E35" s="3" t="str">
        <x:v>统一为任务名词短语并收紧最相近边界；不因频次高低合并。D1/D2/D3/D5=PASS，D4=historical pending（见Manual_Review）。</x:v>
      </x:c>
      <x:c r="F35" s="3" t="str">
        <x:v>P15, P22</x:v>
      </x:c>
    </x:row>
    <x:row r="36" ht="56" customHeight="1">
      <x:c r="A36" s="7" t="str">
        <x:v>RA-1 — General/unspecified automated refactoring</x:v>
      </x:c>
      <x:c r="B36" s="7" t="str">
        <x:v>Refactoring Application</x:v>
      </x:c>
      <x:c r="C36" s="7" t="str">
        <x:v>RENAME</x:v>
      </x:c>
      <x:c r="D36" s="7" t="str">
        <x:v>General Refactoring Application</x:v>
      </x:c>
      <x:c r="E36" s="7" t="str">
        <x:v>统一为任务名词短语并收紧最相近边界；不因频次高低合并。D1/D2/D3/D5=PASS，D4=historical pending（见Manual_Review）。</x:v>
      </x:c>
      <x:c r="F36" s="7" t="str">
        <x:v>P2, P7, P18</x:v>
      </x:c>
    </x:row>
    <x:row r="37" ht="56" customHeight="1">
      <x:c r="A37" s="3" t="str">
        <x:v>RA-2 — Code-level refactoring transformation</x:v>
      </x:c>
      <x:c r="B37" s="3" t="str">
        <x:v>Refactoring Application</x:v>
      </x:c>
      <x:c r="C37" s="3" t="str">
        <x:v>RENAME</x:v>
      </x:c>
      <x:c r="D37" s="3" t="str">
        <x:v>Code-level Refactoring Transformation</x:v>
      </x:c>
      <x:c r="E37" s="3" t="str">
        <x:v>统一为任务名词短语并收紧最相近边界；不因频次高低合并。D1/D2/D3/D5=PASS，D4=historical pending（见Manual_Review）。</x:v>
      </x:c>
      <x:c r="F37" s="3" t="str">
        <x:v>P3, P8, P14, P18, P21, P22, P24</x:v>
      </x:c>
    </x:row>
    <x:row r="38" ht="56" customHeight="1">
      <x:c r="A38" s="7" t="str">
        <x:v>RA-3 — Composite/sequence-based refactoring application</x:v>
      </x:c>
      <x:c r="B38" s="7" t="str">
        <x:v>Refactoring Application</x:v>
      </x:c>
      <x:c r="C38" s="7" t="str">
        <x:v>RENAME</x:v>
      </x:c>
      <x:c r="D38" s="7" t="str">
        <x:v>Composite Refactoring Application</x:v>
      </x:c>
      <x:c r="E38" s="7" t="str">
        <x:v>统一为任务名词短语并收紧最相近边界；不因频次高低合并。D1/D2/D3/D5=PASS，D4=PASS。</x:v>
      </x:c>
      <x:c r="F38" s="7" t="str">
        <x:v>P13, P17, P22</x:v>
      </x:c>
    </x:row>
    <x:row r="39" ht="56" customHeight="1">
      <x:c r="A39" s="3" t="str">
        <x:v>RA-4 — Architectural restructuring/decomposition</x:v>
      </x:c>
      <x:c r="B39" s="3" t="str">
        <x:v>Refactoring Application</x:v>
      </x:c>
      <x:c r="C39" s="3" t="str">
        <x:v>RENAME</x:v>
      </x:c>
      <x:c r="D39" s="3" t="str">
        <x:v>Architectural Restructuring</x:v>
      </x:c>
      <x:c r="E39" s="3" t="str">
        <x:v>统一为任务名词短语并收紧最相近边界；不因频次高低合并。D1/D2/D3/D5=PASS，D4=PASS。</x:v>
      </x:c>
      <x:c r="F39" s="3" t="str">
        <x:v>P7, P14</x:v>
      </x:c>
    </x:row>
    <x:row r="40" ht="56" customHeight="1">
      <x:c r="A40" s="7" t="str">
        <x:v>QI-1 — Software quality impact assessment</x:v>
      </x:c>
      <x:c r="B40" s="7" t="str">
        <x:v>Quality Impact Assessment</x:v>
      </x:c>
      <x:c r="C40" s="7" t="str">
        <x:v>RENAME</x:v>
      </x:c>
      <x:c r="D40" s="7" t="str">
        <x:v>Software Quality Impact Assessment</x:v>
      </x:c>
      <x:c r="E40" s="7" t="str">
        <x:v>统一为任务名词短语并收紧最相近边界；不因频次高低合并。D1/D2/D3/D5=PASS，D4=historical pending（见Manual_Review）。</x:v>
      </x:c>
      <x:c r="F40" s="7" t="str">
        <x:v>P2, P5, P8, P13, P17, P22</x:v>
      </x:c>
    </x:row>
    <x:row r="41" ht="56" customHeight="1">
      <x:c r="A41" s="3" t="str">
        <x:v>QI-2 — Process/effort/cost impact assessment</x:v>
      </x:c>
      <x:c r="B41" s="3" t="str">
        <x:v>Quality Impact Assessment</x:v>
      </x:c>
      <x:c r="C41" s="3" t="str">
        <x:v>RENAME</x:v>
      </x:c>
      <x:c r="D41" s="3" t="str">
        <x:v>Process Impact Assessment</x:v>
      </x:c>
      <x:c r="E41" s="3" t="str">
        <x:v>统一为任务名词短语并收紧最相近边界；不因频次高低合并。D1/D2/D3/D5=PASS，D4=PASS；Low-frequency / Singleton。</x:v>
      </x:c>
      <x:c r="F41" s="3" t="str">
        <x:v>P17</x:v>
      </x:c>
    </x:row>
    <x:row r="42" ht="56" customHeight="1">
      <x:c r="A42" s="7" t="str">
        <x:v>AC-1 — Related-artifact consistency maintenance</x:v>
      </x:c>
      <x:c r="B42" s="7" t="str">
        <x:v>Artifact Consistency Maintenance</x:v>
      </x:c>
      <x:c r="C42" s="7" t="str">
        <x:v>RENAME</x:v>
      </x:c>
      <x:c r="D42" s="7" t="str">
        <x:v>Cross-artifact Consistency Maintenance</x:v>
      </x:c>
      <x:c r="E42" s="7" t="str">
        <x:v>统一为任务名词短语并收紧最相近边界；不因频次高低合并。D1/D2/D3/D5=PASS，D4=historical pending（见Manual_Review）。</x:v>
      </x:c>
      <x:c r="F42" s="7" t="str">
        <x:v>P9, P15</x:v>
      </x:c>
    </x:row>
    <x:row r="43" ht="56" customHeight="1">
      <x:c r="A43" s="3" t="str">
        <x:v>identify refactoring opportunities using clustering techniques</x:v>
      </x:c>
      <x:c r="B43" s="3" t="str">
        <x:v>Refactoring Opportunity Identification</x:v>
      </x:c>
      <x:c r="C43" s="3" t="str">
        <x:v>MERGE</x:v>
      </x:c>
      <x:c r="D43" s="3" t="str">
        <x:v>General Refactoring Opportunity Identification</x:v>
      </x:c>
      <x:c r="E43" s="3" t="str">
        <x:v>按现有语境归并同一任务的术语变体；算法、工具和质量目标不另设子任务。</x:v>
      </x:c>
      <x:c r="F43" s="3" t="str">
        <x:v>P1</x:v>
      </x:c>
    </x:row>
    <x:row r="44" ht="57" customHeight="1">
      <x:c r="A44" s="7" t="str">
        <x:v>automated detection and correction of refactoring opportunities</x:v>
      </x:c>
      <x:c r="B44" s="7" t="str">
        <x:v>Refactoring Application; Refactoring Opportunity Identification; Refactoring Selection</x:v>
      </x:c>
      <x:c r="C44" s="7" t="str">
        <x:v>SPLIT</x:v>
      </x:c>
      <x:c r="D44" s="7" t="str">
        <x:v>General Refactoring Opportunity Identification; Refactoring Operation Selection; General Refactoring Application</x:v>
      </x:c>
      <x:c r="E44" s="7" t="str">
        <x:v>按不同输出分别映射活动；每一映射的证据状态以RQ1_Frozen_Mapping为准。</x:v>
      </x:c>
      <x:c r="F44" s="7" t="str">
        <x:v>P7</x:v>
      </x:c>
    </x:row>
    <x:row r="45" ht="56" customHeight="1">
      <x:c r="A45" s="3" t="str">
        <x:v>learn refactoring opportunities from examples</x:v>
      </x:c>
      <x:c r="B45" s="3" t="str">
        <x:v>Refactoring Opportunity Identification</x:v>
      </x:c>
      <x:c r="C45" s="3" t="str">
        <x:v>MERGE</x:v>
      </x:c>
      <x:c r="D45" s="3" t="str">
        <x:v>General Refactoring Opportunity Identification</x:v>
      </x:c>
      <x:c r="E45" s="3" t="str">
        <x:v>按现有语境归并同一任务的术语变体；算法、工具和质量目标不另设子任务。</x:v>
      </x:c>
      <x:c r="F45" s="3" t="str">
        <x:v>P7</x:v>
      </x:c>
    </x:row>
    <x:row r="46" ht="56" customHeight="1">
      <x:c r="A46" s="7" t="str">
        <x:v>refactoring opportunity identification and type selection</x:v>
      </x:c>
      <x:c r="B46" s="7" t="str">
        <x:v>Refactoring Opportunity Identification; Refactoring Selection</x:v>
      </x:c>
      <x:c r="C46" s="7" t="str">
        <x:v>SPLIT</x:v>
      </x:c>
      <x:c r="D46" s="7" t="str">
        <x:v>General Refactoring Opportunity Identification; Refactoring Operation Selection</x:v>
      </x:c>
      <x:c r="E46" s="7" t="str">
        <x:v>按不同输出分别映射活动；每一映射的证据状态以RQ1_Frozen_Mapping为准。</x:v>
      </x:c>
      <x:c r="F46" s="7" t="str">
        <x:v>P14</x:v>
      </x:c>
    </x:row>
    <x:row r="47" ht="56" customHeight="1">
      <x:c r="A47" s="3" t="str">
        <x:v>refactoring opportunity identification</x:v>
      </x:c>
      <x:c r="B47" s="3" t="str">
        <x:v>Refactoring Opportunity Identification</x:v>
      </x:c>
      <x:c r="C47" s="3" t="str">
        <x:v>MERGE</x:v>
      </x:c>
      <x:c r="D47" s="3" t="str">
        <x:v>General Refactoring Opportunity Identification</x:v>
      </x:c>
      <x:c r="E47" s="3" t="str">
        <x:v>按现有语境归并同一任务的术语变体；算法、工具和质量目标不另设子任务。</x:v>
      </x:c>
      <x:c r="F47" s="3" t="str">
        <x:v>P14</x:v>
      </x:c>
    </x:row>
    <x:row r="48" ht="56" customHeight="1">
      <x:c r="A48" s="7" t="str">
        <x:v>detection stage</x:v>
      </x:c>
      <x:c r="B48" s="7" t="str">
        <x:v>Refactoring Opportunity Identification</x:v>
      </x:c>
      <x:c r="C48" s="7" t="str">
        <x:v>MERGE</x:v>
      </x:c>
      <x:c r="D48" s="7" t="str">
        <x:v>General Refactoring Opportunity Identification</x:v>
      </x:c>
      <x:c r="E48" s="7" t="str">
        <x:v>按现有语境归并同一任务的术语变体；算法、工具和质量目标不另设子任务。</x:v>
      </x:c>
      <x:c r="F48" s="7" t="str">
        <x:v>P15</x:v>
      </x:c>
    </x:row>
    <x:row r="49" ht="56" customHeight="1">
      <x:c r="A49" s="3" t="str">
        <x:v>refactoring candidate identification</x:v>
      </x:c>
      <x:c r="B49" s="3" t="str">
        <x:v>Refactoring Opportunity Identification</x:v>
      </x:c>
      <x:c r="C49" s="3" t="str">
        <x:v>MERGE</x:v>
      </x:c>
      <x:c r="D49" s="3" t="str">
        <x:v>General Refactoring Opportunity Identification</x:v>
      </x:c>
      <x:c r="E49" s="3" t="str">
        <x:v>按现有语境归并同一任务的术语变体；算法、工具和质量目标不另设子任务。</x:v>
      </x:c>
      <x:c r="F49" s="3" t="str">
        <x:v>P21</x:v>
      </x:c>
    </x:row>
    <x:row r="50" ht="56" customHeight="1">
      <x:c r="A50" s="7" t="str">
        <x:v>identify code smells</x:v>
      </x:c>
      <x:c r="B50" s="7" t="str">
        <x:v>Refactoring Opportunity Identification</x:v>
      </x:c>
      <x:c r="C50" s="7" t="str">
        <x:v>MERGE</x:v>
      </x:c>
      <x:c r="D50" s="7" t="str">
        <x:v>Smell-based Opportunity Identification</x:v>
      </x:c>
      <x:c r="E50" s="7" t="str">
        <x:v>按现有语境归并同一任务的术语变体；算法、工具和质量目标不另设子任务。</x:v>
      </x:c>
      <x:c r="F50" s="7" t="str">
        <x:v>P3</x:v>
      </x:c>
    </x:row>
    <x:row r="51" ht="56" customHeight="1">
      <x:c r="A51" s="3" t="str">
        <x:v>detect code smells using machine-learning techniques</x:v>
      </x:c>
      <x:c r="B51" s="3" t="str">
        <x:v>Refactoring Opportunity Identification</x:v>
      </x:c>
      <x:c r="C51" s="3" t="str">
        <x:v>MERGE</x:v>
      </x:c>
      <x:c r="D51" s="3" t="str">
        <x:v>Smell-based Opportunity Identification</x:v>
      </x:c>
      <x:c r="E51" s="3" t="str">
        <x:v>按现有语境归并同一任务的术语变体；算法、工具和质量目标不另设子任务。</x:v>
      </x:c>
      <x:c r="F51" s="3" t="str">
        <x:v>P4</x:v>
      </x:c>
    </x:row>
    <x:row r="52" ht="56" customHeight="1">
      <x:c r="A52" s="7" t="str">
        <x:v>use code smells as pointers for determining opportunities for refactoring</x:v>
      </x:c>
      <x:c r="B52" s="7" t="str">
        <x:v>Refactoring Opportunity Identification</x:v>
      </x:c>
      <x:c r="C52" s="7" t="str">
        <x:v>MERGE</x:v>
      </x:c>
      <x:c r="D52" s="7" t="str">
        <x:v>Smell-based Opportunity Identification</x:v>
      </x:c>
      <x:c r="E52" s="7" t="str">
        <x:v>按现有语境归并同一任务的术语变体；算法、工具和质量目标不另设子任务。</x:v>
      </x:c>
      <x:c r="F52" s="7" t="str">
        <x:v>P8</x:v>
      </x:c>
    </x:row>
    <x:row r="53" ht="56" customHeight="1">
      <x:c r="A53" s="3" t="str">
        <x:v>detect code and design smells using seven families of techniques</x:v>
      </x:c>
      <x:c r="B53" s="3" t="str">
        <x:v>Refactoring Opportunity Identification</x:v>
      </x:c>
      <x:c r="C53" s="3" t="str">
        <x:v>MERGE</x:v>
      </x:c>
      <x:c r="D53" s="3" t="str">
        <x:v>Smell-based Opportunity Identification</x:v>
      </x:c>
      <x:c r="E53" s="3" t="str">
        <x:v>按现有语境归并同一任务的术语变体；算法、工具和质量目标不另设子任务。</x:v>
      </x:c>
      <x:c r="F53" s="3" t="str">
        <x:v>P10</x:v>
      </x:c>
    </x:row>
    <x:row r="54" ht="56" customHeight="1">
      <x:c r="A54" s="7" t="str">
        <x:v>code smell detection and visualization to decide whether to proceed to refactoring</x:v>
      </x:c>
      <x:c r="B54" s="7" t="str">
        <x:v>Refactoring Opportunity Identification</x:v>
      </x:c>
      <x:c r="C54" s="7" t="str">
        <x:v>MERGE</x:v>
      </x:c>
      <x:c r="D54" s="7" t="str">
        <x:v>Smell-based Opportunity Identification</x:v>
      </x:c>
      <x:c r="E54" s="7" t="str">
        <x:v>按现有语境归并同一任务的术语变体；算法、工具和质量目标不另设子任务。</x:v>
      </x:c>
      <x:c r="F54" s="7" t="str">
        <x:v>P11</x:v>
      </x:c>
    </x:row>
    <x:row r="55" ht="56" customHeight="1">
      <x:c r="A55" s="3" t="str">
        <x:v>identify code components that require refactoring through design-smell/anti-pattern detection</x:v>
      </x:c>
      <x:c r="B55" s="3" t="str">
        <x:v>Refactoring Opportunity Identification</x:v>
      </x:c>
      <x:c r="C55" s="3" t="str">
        <x:v>MERGE</x:v>
      </x:c>
      <x:c r="D55" s="3" t="str">
        <x:v>Smell-based Opportunity Identification</x:v>
      </x:c>
      <x:c r="E55" s="3" t="str">
        <x:v>按现有语境归并同一任务的术语变体；算法、工具和质量目标不另设子任务。</x:v>
      </x:c>
      <x:c r="F55" s="3" t="str">
        <x:v>P12</x:v>
      </x:c>
    </x:row>
    <x:row r="56" ht="56" customHeight="1">
      <x:c r="A56" s="7" t="str">
        <x:v>detect feature envy and recommend methods to appropriate classes</x:v>
      </x:c>
      <x:c r="B56" s="7" t="str">
        <x:v>Refactoring Opportunity Identification; Refactoring Selection</x:v>
      </x:c>
      <x:c r="C56" s="7" t="str">
        <x:v>SPLIT</x:v>
      </x:c>
      <x:c r="D56" s="7" t="str">
        <x:v>Smell-based Opportunity Identification; Refactoring Operation Selection</x:v>
      </x:c>
      <x:c r="E56" s="7" t="str">
        <x:v>按不同输出分别映射活动；每一映射的证据状态以RQ1_Frozen_Mapping为准。</x:v>
      </x:c>
      <x:c r="F56" s="7" t="str">
        <x:v>P18</x:v>
      </x:c>
    </x:row>
    <x:row r="57" ht="56" customHeight="1">
      <x:c r="A57" s="3" t="str">
        <x:v>detect code smells and subsequently refactor</x:v>
      </x:c>
      <x:c r="B57" s="3" t="str">
        <x:v>Refactoring Application; Refactoring Opportunity Identification</x:v>
      </x:c>
      <x:c r="C57" s="3" t="str">
        <x:v>SPLIT</x:v>
      </x:c>
      <x:c r="D57" s="3" t="str">
        <x:v>Smell-based Opportunity Identification; Code-level Refactoring Transformation</x:v>
      </x:c>
      <x:c r="E57" s="3" t="str">
        <x:v>按不同输出分别映射活动；每一映射的证据状态以RQ1_Frozen_Mapping为准。</x:v>
      </x:c>
      <x:c r="F57" s="3" t="str">
        <x:v>P21</x:v>
      </x:c>
    </x:row>
    <x:row r="58" ht="56" customHeight="1">
      <x:c r="A58" s="7" t="str">
        <x:v>ML-based code-smell detection and unified benchmark</x:v>
      </x:c>
      <x:c r="B58" s="7" t="str">
        <x:v>Refactoring Opportunity Identification</x:v>
      </x:c>
      <x:c r="C58" s="7" t="str">
        <x:v>MERGE</x:v>
      </x:c>
      <x:c r="D58" s="7" t="str">
        <x:v>Smell-based Opportunity Identification</x:v>
      </x:c>
      <x:c r="E58" s="7" t="str">
        <x:v>按现有语境归并同一任务的术语变体；算法、工具和质量目标不另设子任务。</x:v>
      </x:c>
      <x:c r="F58" s="7" t="str">
        <x:v>P23</x:v>
      </x:c>
    </x:row>
    <x:row r="59" ht="56" customHeight="1">
      <x:c r="A59" s="3" t="str">
        <x:v>code smell detection to assess refactoring possibilities</x:v>
      </x:c>
      <x:c r="B59" s="3" t="str">
        <x:v>Refactoring Opportunity Identification</x:v>
      </x:c>
      <x:c r="C59" s="3" t="str">
        <x:v>MERGE</x:v>
      </x:c>
      <x:c r="D59" s="3" t="str">
        <x:v>Smell-based Opportunity Identification</x:v>
      </x:c>
      <x:c r="E59" s="3" t="str">
        <x:v>按现有语境归并同一任务的术语变体；算法、工具和质量目标不另设子任务。</x:v>
      </x:c>
      <x:c r="F59" s="3" t="str">
        <x:v>P25</x:v>
      </x:c>
    </x:row>
    <x:row r="60" ht="56" customHeight="1">
      <x:c r="A60" s="7" t="str">
        <x:v>alert possible refactoring opportunity from cloning</x:v>
      </x:c>
      <x:c r="B60" s="7" t="str">
        <x:v>Refactoring Opportunity Identification</x:v>
      </x:c>
      <x:c r="C60" s="7" t="str">
        <x:v>MERGE</x:v>
      </x:c>
      <x:c r="D60" s="7" t="str">
        <x:v>Clone-based Opportunity Identification</x:v>
      </x:c>
      <x:c r="E60" s="7" t="str">
        <x:v>按现有语境归并同一任务的术语变体；算法、工具和质量目标不另设子任务。</x:v>
      </x:c>
      <x:c r="F60" s="7" t="str">
        <x:v>P7</x:v>
      </x:c>
    </x:row>
    <x:row r="61" ht="56" customHeight="1">
      <x:c r="A61" s="3" t="str">
        <x:v>recommend clones for refactoring</x:v>
      </x:c>
      <x:c r="B61" s="3" t="str">
        <x:v>Refactoring Opportunity Identification; Refactoring Selection</x:v>
      </x:c>
      <x:c r="C61" s="3" t="str">
        <x:v>SPLIT</x:v>
      </x:c>
      <x:c r="D61" s="3" t="str">
        <x:v>Clone-based Opportunity Identification; Refactoring Candidate Prioritization</x:v>
      </x:c>
      <x:c r="E61" s="3" t="str">
        <x:v>按不同输出分别映射活动；每一映射的证据状态以RQ1_Frozen_Mapping为准。</x:v>
      </x:c>
      <x:c r="F61" s="3" t="str">
        <x:v>P19</x:v>
      </x:c>
    </x:row>
    <x:row r="62" ht="56" customHeight="1">
      <x:c r="A62" s="7" t="str">
        <x:v>recommend Extract Method refactoring in real time</x:v>
      </x:c>
      <x:c r="B62" s="7" t="str">
        <x:v>Refactoring Opportunity Identification; Refactoring Selection</x:v>
      </x:c>
      <x:c r="C62" s="7" t="str">
        <x:v>SPLIT</x:v>
      </x:c>
      <x:c r="D62" s="7" t="str">
        <x:v>Clone-based Opportunity Identification; Refactoring Operation Selection</x:v>
      </x:c>
      <x:c r="E62" s="7" t="str">
        <x:v>按不同输出分别映射活动；每一映射的证据状态以RQ1_Frozen_Mapping为准。</x:v>
      </x:c>
      <x:c r="F62" s="7" t="str">
        <x:v>P19</x:v>
      </x:c>
    </x:row>
    <x:row r="63" ht="56" customHeight="1">
      <x:c r="A63" s="3" t="str">
        <x:v>identify and refactor Type-1/2/3 code clones using Extract Method</x:v>
      </x:c>
      <x:c r="B63" s="3" t="str">
        <x:v>Refactoring Application; Refactoring Opportunity Identification</x:v>
      </x:c>
      <x:c r="C63" s="3" t="str">
        <x:v>SPLIT</x:v>
      </x:c>
      <x:c r="D63" s="3" t="str">
        <x:v>Clone-based Opportunity Identification; Code-level Refactoring Transformation</x:v>
      </x:c>
      <x:c r="E63" s="3" t="str">
        <x:v>按不同输出分别映射活动；每一映射的证据状态以RQ1_Frozen_Mapping为准。</x:v>
      </x:c>
      <x:c r="F63" s="3" t="str">
        <x:v>P24</x:v>
      </x:c>
    </x:row>
    <x:row r="64" ht="56" customHeight="1">
      <x:c r="A64" s="7" t="str">
        <x:v>rename refactoring opportunity identification</x:v>
      </x:c>
      <x:c r="B64" s="7" t="str">
        <x:v>Refactoring Opportunity Identification</x:v>
      </x:c>
      <x:c r="C64" s="7" t="str">
        <x:v>MERGE</x:v>
      </x:c>
      <x:c r="D64" s="7" t="str">
        <x:v>Operation-specific Opportunity Identification</x:v>
      </x:c>
      <x:c r="E64" s="7" t="str">
        <x:v>按现有语境归并同一任务的术语变体；算法、工具和质量目标不另设子任务。</x:v>
      </x:c>
      <x:c r="F64" s="7" t="str">
        <x:v>P14</x:v>
      </x:c>
    </x:row>
    <x:row r="65" ht="56" customHeight="1">
      <x:c r="A65" s="3" t="str">
        <x:v>predict Extract Method refactoring</x:v>
      </x:c>
      <x:c r="B65" s="3" t="str">
        <x:v>Refactoring Opportunity Identification</x:v>
      </x:c>
      <x:c r="C65" s="3" t="str">
        <x:v>MERGE</x:v>
      </x:c>
      <x:c r="D65" s="3" t="str">
        <x:v>Operation-specific Opportunity Identification</x:v>
      </x:c>
      <x:c r="E65" s="3" t="str">
        <x:v>按现有语境归并同一任务的术语变体；算法、工具和质量目标不另设子任务。</x:v>
      </x:c>
      <x:c r="F65" s="3" t="str">
        <x:v>P16</x:v>
      </x:c>
    </x:row>
    <x:row r="66" ht="56" customHeight="1">
      <x:c r="A66" s="7" t="str">
        <x:v>predict and recommend Extract Method refactoring</x:v>
      </x:c>
      <x:c r="B66" s="7" t="str">
        <x:v>Refactoring Opportunity Identification; Refactoring Selection</x:v>
      </x:c>
      <x:c r="C66" s="7" t="str">
        <x:v>SPLIT</x:v>
      </x:c>
      <x:c r="D66" s="7" t="str">
        <x:v>Operation-specific Opportunity Identification; Refactoring Operation Selection</x:v>
      </x:c>
      <x:c r="E66" s="7" t="str">
        <x:v>按不同输出分别映射活动；每一映射的证据状态以RQ1_Frozen_Mapping为准。</x:v>
      </x:c>
      <x:c r="F66" s="7" t="str">
        <x:v>P16</x:v>
      </x:c>
    </x:row>
    <x:row r="67" ht="56" customHeight="1">
      <x:c r="A67" s="3" t="str">
        <x:v>identify Extract Method candidates</x:v>
      </x:c>
      <x:c r="B67" s="3" t="str">
        <x:v>Refactoring Opportunity Identification</x:v>
      </x:c>
      <x:c r="C67" s="3" t="str">
        <x:v>MERGE</x:v>
      </x:c>
      <x:c r="D67" s="3" t="str">
        <x:v>Operation-specific Opportunity Identification</x:v>
      </x:c>
      <x:c r="E67" s="3" t="str">
        <x:v>按现有语境归并同一任务的术语变体；算法、工具和质量目标不另设子任务。</x:v>
      </x:c>
      <x:c r="F67" s="3" t="str">
        <x:v>P16</x:v>
      </x:c>
    </x:row>
    <x:row r="68" ht="57" customHeight="1">
      <x:c r="A68" s="7" t="str">
        <x:v>refine generated Extract Method suggestions</x:v>
      </x:c>
      <x:c r="B68" s="7" t="str">
        <x:v>Refactoring Application; Refactoring Opportunity Identification; Refactoring Selection</x:v>
      </x:c>
      <x:c r="C68" s="7" t="str">
        <x:v>SPLIT</x:v>
      </x:c>
      <x:c r="D68" s="7" t="str">
        <x:v>Operation-specific Opportunity Identification; Refactoring Operation Selection; Code-level Refactoring Transformation</x:v>
      </x:c>
      <x:c r="E68" s="7" t="str">
        <x:v>按不同输出分别映射活动；每一映射的证据状态以RQ1_Frozen_Mapping为准。</x:v>
      </x:c>
      <x:c r="F68" s="7" t="str">
        <x:v>P22</x:v>
      </x:c>
    </x:row>
    <x:row r="69" ht="56" customHeight="1">
      <x:c r="A69" s="3" t="str">
        <x:v>monolith decomposition</x:v>
      </x:c>
      <x:c r="B69" s="3" t="str">
        <x:v>Refactoring Application; Refactoring Opportunity Identification</x:v>
      </x:c>
      <x:c r="C69" s="3" t="str">
        <x:v>SPLIT</x:v>
      </x:c>
      <x:c r="D69" s="3" t="str">
        <x:v>Architectural Opportunity Identification; Architectural Restructuring</x:v>
      </x:c>
      <x:c r="E69" s="3" t="str">
        <x:v>按不同输出分别映射活动；每一映射的证据状态以RQ1_Frozen_Mapping为准。</x:v>
      </x:c>
      <x:c r="F69" s="3" t="str">
        <x:v>P14</x:v>
      </x:c>
    </x:row>
    <x:row r="70" ht="56" customHeight="1">
      <x:c r="A70" s="7" t="str">
        <x:v>prediction stage</x:v>
      </x:c>
      <x:c r="B70" s="7" t="str">
        <x:v>Refactoring Opportunity Identification</x:v>
      </x:c>
      <x:c r="C70" s="7" t="str">
        <x:v>MERGE</x:v>
      </x:c>
      <x:c r="D70" s="7" t="str">
        <x:v>Refactoring Need Prediction</x:v>
      </x:c>
      <x:c r="E70" s="7" t="str">
        <x:v>按现有语境归并同一任务的术语变体；算法、工具和质量目标不另设子任务。</x:v>
      </x:c>
      <x:c r="F70" s="7" t="str">
        <x:v>P15</x:v>
      </x:c>
    </x:row>
    <x:row r="71" ht="56" customHeight="1">
      <x:c r="A71" s="3" t="str">
        <x:v>predict refactoring activities from commit and code metrics</x:v>
      </x:c>
      <x:c r="B71" s="3" t="str">
        <x:v>Refactoring Opportunity Identification</x:v>
      </x:c>
      <x:c r="C71" s="3" t="str">
        <x:v>MERGE</x:v>
      </x:c>
      <x:c r="D71" s="3" t="str">
        <x:v>Refactoring Need Prediction</x:v>
      </x:c>
      <x:c r="E71" s="3" t="str">
        <x:v>按现有语境归并同一任务的术语变体；算法、工具和质量目标不另设子任务。</x:v>
      </x:c>
      <x:c r="F71" s="3" t="str">
        <x:v>P16</x:v>
      </x:c>
    </x:row>
    <x:row r="72" ht="56" customHeight="1">
      <x:c r="A72" s="7" t="str">
        <x:v>remove bad smells from code</x:v>
      </x:c>
      <x:c r="B72" s="7" t="str">
        <x:v>Refactoring Application; Refactoring Selection</x:v>
      </x:c>
      <x:c r="C72" s="7" t="str">
        <x:v>SPLIT</x:v>
      </x:c>
      <x:c r="D72" s="7" t="str">
        <x:v>Refactoring Operation Selection; Code-level Refactoring Transformation</x:v>
      </x:c>
      <x:c r="E72" s="7" t="str">
        <x:v>按不同输出分别映射活动；每一映射的证据状态以RQ1_Frozen_Mapping为准。</x:v>
      </x:c>
      <x:c r="F72" s="7" t="str">
        <x:v>P3</x:v>
      </x:c>
    </x:row>
    <x:row r="73" ht="56" customHeight="1">
      <x:c r="A73" s="3" t="str">
        <x:v>provide refactoring suggestions for identified code smells</x:v>
      </x:c>
      <x:c r="B73" s="3" t="str">
        <x:v>Refactoring Selection</x:v>
      </x:c>
      <x:c r="C73" s="3" t="str">
        <x:v>MERGE</x:v>
      </x:c>
      <x:c r="D73" s="3" t="str">
        <x:v>Refactoring Operation Selection</x:v>
      </x:c>
      <x:c r="E73" s="3" t="str">
        <x:v>按现有语境归并同一任务的术语变体；算法、工具和质量目标不另设子任务。</x:v>
      </x:c>
      <x:c r="F73" s="3" t="str">
        <x:v>P8</x:v>
      </x:c>
    </x:row>
    <x:row r="74" ht="56" customHeight="1">
      <x:c r="A74" s="7" t="str">
        <x:v>refactoring type selection</x:v>
      </x:c>
      <x:c r="B74" s="7" t="str">
        <x:v>Refactoring Selection</x:v>
      </x:c>
      <x:c r="C74" s="7" t="str">
        <x:v>MERGE</x:v>
      </x:c>
      <x:c r="D74" s="7" t="str">
        <x:v>Refactoring Operation Selection</x:v>
      </x:c>
      <x:c r="E74" s="7" t="str">
        <x:v>按现有语境归并同一任务的术语变体；算法、工具和质量目标不另设子任务。</x:v>
      </x:c>
      <x:c r="F74" s="7" t="str">
        <x:v>P14</x:v>
      </x:c>
    </x:row>
    <x:row r="75" ht="56" customHeight="1">
      <x:c r="A75" s="3" t="str">
        <x:v>recommendation stage</x:v>
      </x:c>
      <x:c r="B75" s="3" t="str">
        <x:v>Refactoring Selection</x:v>
      </x:c>
      <x:c r="C75" s="3" t="str">
        <x:v>MERGE</x:v>
      </x:c>
      <x:c r="D75" s="3" t="str">
        <x:v>Refactoring Operation Selection</x:v>
      </x:c>
      <x:c r="E75" s="3" t="str">
        <x:v>按现有语境归并同一任务的术语变体；算法、工具和质量目标不另设子任务。</x:v>
      </x:c>
      <x:c r="F75" s="3" t="str">
        <x:v>P15</x:v>
      </x:c>
    </x:row>
    <x:row r="76" ht="56" customHeight="1">
      <x:c r="A76" s="7" t="str">
        <x:v>recommend Extract Method in an industrial setting</x:v>
      </x:c>
      <x:c r="B76" s="7" t="str">
        <x:v>Refactoring Selection</x:v>
      </x:c>
      <x:c r="C76" s="7" t="str">
        <x:v>MERGE</x:v>
      </x:c>
      <x:c r="D76" s="7" t="str">
        <x:v>Refactoring Operation Selection</x:v>
      </x:c>
      <x:c r="E76" s="7" t="str">
        <x:v>按现有语境归并同一任务的术语变体；算法、工具和质量目标不另设子任务。</x:v>
      </x:c>
      <x:c r="F76" s="7" t="str">
        <x:v>P16</x:v>
      </x:c>
    </x:row>
    <x:row r="77" ht="56" customHeight="1">
      <x:c r="A77" s="3" t="str">
        <x:v>suggest an automatic Move Method refactoring</x:v>
      </x:c>
      <x:c r="B77" s="3" t="str">
        <x:v>Refactoring Selection</x:v>
      </x:c>
      <x:c r="C77" s="3" t="str">
        <x:v>MERGE</x:v>
      </x:c>
      <x:c r="D77" s="3" t="str">
        <x:v>Refactoring Operation Selection</x:v>
      </x:c>
      <x:c r="E77" s="3" t="str">
        <x:v>按现有语境归并同一任务的术语变体；算法、工具和质量目标不另设子任务。</x:v>
      </x:c>
      <x:c r="F77" s="3" t="str">
        <x:v>P20</x:v>
      </x:c>
    </x:row>
    <x:row r="78" ht="56" customHeight="1">
      <x:c r="A78" s="7" t="str">
        <x:v>code smell prioritization for scheduling refactoring operations</x:v>
      </x:c>
      <x:c r="B78" s="7" t="str">
        <x:v>Refactoring Selection</x:v>
      </x:c>
      <x:c r="C78" s="7" t="str">
        <x:v>MERGE</x:v>
      </x:c>
      <x:c r="D78" s="7" t="str">
        <x:v>Refactoring Candidate Prioritization</x:v>
      </x:c>
      <x:c r="E78" s="7" t="str">
        <x:v>按现有语境归并同一任务的术语变体；算法、工具和质量目标不另设子任务。</x:v>
      </x:c>
      <x:c r="F78" s="7" t="str">
        <x:v>P6</x:v>
      </x:c>
    </x:row>
    <x:row r="79" ht="56" customHeight="1">
      <x:c r="A79" s="3" t="str">
        <x:v>rank and prioritize refactoring opportunities</x:v>
      </x:c>
      <x:c r="B79" s="3" t="str">
        <x:v>Refactoring Selection</x:v>
      </x:c>
      <x:c r="C79" s="3" t="str">
        <x:v>MERGE</x:v>
      </x:c>
      <x:c r="D79" s="3" t="str">
        <x:v>Refactoring Candidate Prioritization</x:v>
      </x:c>
      <x:c r="E79" s="3" t="str">
        <x:v>按现有语境归并同一任务的术语变体；算法、工具和质量目标不另设子任务。</x:v>
      </x:c>
      <x:c r="F79" s="3" t="str">
        <x:v>P7</x:v>
      </x:c>
    </x:row>
    <x:row r="80" ht="56" customHeight="1">
      <x:c r="A80" s="7" t="str">
        <x:v>prepare a schedule for clone refactoring</x:v>
      </x:c>
      <x:c r="B80" s="7" t="str">
        <x:v>Refactoring Selection</x:v>
      </x:c>
      <x:c r="C80" s="7" t="str">
        <x:v>MERGE</x:v>
      </x:c>
      <x:c r="D80" s="7" t="str">
        <x:v>Refactoring Candidate Prioritization</x:v>
      </x:c>
      <x:c r="E80" s="7" t="str">
        <x:v>按现有语境归并同一任务的术语变体；算法、工具和质量目标不另设子任务。</x:v>
      </x:c>
      <x:c r="F80" s="7" t="str">
        <x:v>P19</x:v>
      </x:c>
    </x:row>
    <x:row r="81" ht="56" customHeight="1">
      <x:c r="A81" s="3" t="str">
        <x:v>determine clone life expectancy</x:v>
      </x:c>
      <x:c r="B81" s="3" t="str">
        <x:v>Refactoring Selection</x:v>
      </x:c>
      <x:c r="C81" s="3" t="str">
        <x:v>MERGE</x:v>
      </x:c>
      <x:c r="D81" s="3" t="str">
        <x:v>Refactoring Candidate Prioritization</x:v>
      </x:c>
      <x:c r="E81" s="3" t="str">
        <x:v>按现有语境归并同一任务的术语变体；算法、工具和质量目标不另设子任务。</x:v>
      </x:c>
      <x:c r="F81" s="3" t="str">
        <x:v>P19</x:v>
      </x:c>
    </x:row>
    <x:row r="82" ht="56" customHeight="1">
      <x:c r="A82" s="7" t="str">
        <x:v>assess smell severity to prioritize refactoring efforts</x:v>
      </x:c>
      <x:c r="B82" s="7" t="str">
        <x:v>Refactoring Selection</x:v>
      </x:c>
      <x:c r="C82" s="7" t="str">
        <x:v>MERGE</x:v>
      </x:c>
      <x:c r="D82" s="7" t="str">
        <x:v>Refactoring Candidate Prioritization</x:v>
      </x:c>
      <x:c r="E82" s="7" t="str">
        <x:v>按现有语境归并同一任务的术语变体；算法、工具和质量目标不另设子任务。</x:v>
      </x:c>
      <x:c r="F82" s="7" t="str">
        <x:v>P20</x:v>
      </x:c>
    </x:row>
    <x:row r="83" ht="56" customHeight="1">
      <x:c r="A83" s="3" t="str">
        <x:v>classify code smell intensity to prioritize refactoring efforts</x:v>
      </x:c>
      <x:c r="B83" s="3" t="str">
        <x:v>Refactoring Selection</x:v>
      </x:c>
      <x:c r="C83" s="3" t="str">
        <x:v>MERGE</x:v>
      </x:c>
      <x:c r="D83" s="3" t="str">
        <x:v>Refactoring Candidate Prioritization</x:v>
      </x:c>
      <x:c r="E83" s="3" t="str">
        <x:v>按现有语境归并同一任务的术语变体；算法、工具和质量目标不另设子任务。</x:v>
      </x:c>
      <x:c r="F83" s="3" t="str">
        <x:v>P25</x:v>
      </x:c>
    </x:row>
    <x:row r="84" ht="56" customHeight="1">
      <x:c r="A84" s="7" t="str">
        <x:v>generate a sequence of refactorings using search-based techniques</x:v>
      </x:c>
      <x:c r="B84" s="7" t="str">
        <x:v>Refactoring Selection</x:v>
      </x:c>
      <x:c r="C84" s="7" t="str">
        <x:v>MERGE</x:v>
      </x:c>
      <x:c r="D84" s="7" t="str">
        <x:v>Refactoring Sequence Optimization</x:v>
      </x:c>
      <x:c r="E84" s="7" t="str">
        <x:v>按现有语境归并同一任务的术语变体；算法、工具和质量目标不另设子任务。</x:v>
      </x:c>
      <x:c r="F84" s="7" t="str">
        <x:v>P2</x:v>
      </x:c>
    </x:row>
    <x:row r="85" ht="56" customHeight="1">
      <x:c r="A85" s="3" t="str">
        <x:v>select a sequence of refactoring techniques</x:v>
      </x:c>
      <x:c r="B85" s="3" t="str">
        <x:v>Refactoring Selection</x:v>
      </x:c>
      <x:c r="C85" s="3" t="str">
        <x:v>MERGE</x:v>
      </x:c>
      <x:c r="D85" s="3" t="str">
        <x:v>Refactoring Sequence Optimization</x:v>
      </x:c>
      <x:c r="E85" s="3" t="str">
        <x:v>按现有语境归并同一任务的术语变体；算法、工具和质量目标不另设子任务。</x:v>
      </x:c>
      <x:c r="F85" s="3" t="str">
        <x:v>P3</x:v>
      </x:c>
    </x:row>
    <x:row r="86" ht="56" customHeight="1">
      <x:c r="A86" s="7" t="str">
        <x:v>multi-objective software refactoring</x:v>
      </x:c>
      <x:c r="B86" s="7" t="str">
        <x:v>Quality Impact Assessment; Refactoring Selection</x:v>
      </x:c>
      <x:c r="C86" s="7" t="str">
        <x:v>SPLIT</x:v>
      </x:c>
      <x:c r="D86" s="7" t="str">
        <x:v>Refactoring Sequence Optimization; Software Quality Impact Assessment</x:v>
      </x:c>
      <x:c r="E86" s="7" t="str">
        <x:v>按不同输出分别映射活动；每一映射的证据状态以RQ1_Frozen_Mapping为准。</x:v>
      </x:c>
      <x:c r="F86" s="7" t="str">
        <x:v>P5</x:v>
      </x:c>
    </x:row>
    <x:row r="87" ht="56" customHeight="1">
      <x:c r="A87" s="3" t="str">
        <x:v>recommend composite refactorings and their order</x:v>
      </x:c>
      <x:c r="B87" s="3" t="str">
        <x:v>Refactoring Selection</x:v>
      </x:c>
      <x:c r="C87" s="3" t="str">
        <x:v>MERGE</x:v>
      </x:c>
      <x:c r="D87" s="3" t="str">
        <x:v>Refactoring Sequence Optimization</x:v>
      </x:c>
      <x:c r="E87" s="3" t="str">
        <x:v>按现有语境归并同一任务的术语变体；算法、工具和质量目标不另设子任务。</x:v>
      </x:c>
      <x:c r="F87" s="3" t="str">
        <x:v>P13</x:v>
      </x:c>
    </x:row>
    <x:row r="88" ht="57" customHeight="1">
      <x:c r="A88" s="7" t="str">
        <x:v>search-based refactoring sequence for testability</x:v>
      </x:c>
      <x:c r="B88" s="7" t="str">
        <x:v>Quality Impact Assessment; Refactoring Application; Refactoring Selection</x:v>
      </x:c>
      <x:c r="C88" s="7" t="str">
        <x:v>SPLIT</x:v>
      </x:c>
      <x:c r="D88" s="7" t="str">
        <x:v>Refactoring Sequence Optimization; Composite Refactoring Application; Software Quality Impact Assessment; Process Impact Assessment</x:v>
      </x:c>
      <x:c r="E88" s="7" t="str">
        <x:v>按不同输出分别映射活动；每一映射的证据状态以RQ1_Frozen_Mapping为准。</x:v>
      </x:c>
      <x:c r="F88" s="7" t="str">
        <x:v>P17</x:v>
      </x:c>
    </x:row>
    <x:row r="89" ht="56" customHeight="1">
      <x:c r="A89" s="3" t="str">
        <x:v>preserve behavior while applying search-based refactorings</x:v>
      </x:c>
      <x:c r="B89" s="3" t="str">
        <x:v>Behavior Preservation</x:v>
      </x:c>
      <x:c r="C89" s="3" t="str">
        <x:v>MERGE</x:v>
      </x:c>
      <x:c r="D89" s="3" t="str">
        <x:v>Static Behavior Preservation Verification</x:v>
      </x:c>
      <x:c r="E89" s="3" t="str">
        <x:v>按现有语境归并同一任务的术语变体；算法、工具和质量目标不另设子任务。</x:v>
      </x:c>
      <x:c r="F89" s="3" t="str">
        <x:v>P2</x:v>
      </x:c>
    </x:row>
    <x:row r="90" ht="56" customHeight="1">
      <x:c r="A90" s="7" t="str">
        <x:v>detect behavioral inconsistencies and behavior-preservation violations during model refactoring</x:v>
      </x:c>
      <x:c r="B90" s="7" t="str">
        <x:v>Artifact Consistency Maintenance; Behavior Preservation</x:v>
      </x:c>
      <x:c r="C90" s="7" t="str">
        <x:v>SPLIT</x:v>
      </x:c>
      <x:c r="D90" s="7" t="str">
        <x:v>Static Behavior Preservation Verification; Cross-artifact Consistency Maintenance</x:v>
      </x:c>
      <x:c r="E90" s="7" t="str">
        <x:v>按不同输出分别映射活动；每一映射的证据状态以RQ1_Frozen_Mapping为准。</x:v>
      </x:c>
      <x:c r="F90" s="7" t="str">
        <x:v>P9</x:v>
      </x:c>
    </x:row>
    <x:row r="91" ht="56" customHeight="1">
      <x:c r="A91" s="3" t="str">
        <x:v>testing after/around refactoring</x:v>
      </x:c>
      <x:c r="B91" s="3" t="str">
        <x:v>Behavior Preservation</x:v>
      </x:c>
      <x:c r="C91" s="3" t="str">
        <x:v>MERGE</x:v>
      </x:c>
      <x:c r="D91" s="3" t="str">
        <x:v>Dynamic Behavior Preservation Validation</x:v>
      </x:c>
      <x:c r="E91" s="3" t="str">
        <x:v>按现有语境归并同一任务的术语变体；算法、工具和质量目标不另设子任务。</x:v>
      </x:c>
      <x:c r="F91" s="3" t="str">
        <x:v>P15</x:v>
      </x:c>
    </x:row>
    <x:row r="92" ht="56" customHeight="1">
      <x:c r="A92" s="7" t="str">
        <x:v>test refactoring engines and detect refactoring bugs</x:v>
      </x:c>
      <x:c r="B92" s="7" t="str">
        <x:v>Behavior Preservation</x:v>
      </x:c>
      <x:c r="C92" s="7" t="str">
        <x:v>MERGE</x:v>
      </x:c>
      <x:c r="D92" s="7" t="str">
        <x:v>Dynamic Behavior Preservation Validation</x:v>
      </x:c>
      <x:c r="E92" s="7" t="str">
        <x:v>按现有语境归并同一任务的术语变体；算法、工具和质量目标不另设子任务。</x:v>
      </x:c>
      <x:c r="F92" s="7" t="str">
        <x:v>P22</x:v>
      </x:c>
    </x:row>
    <x:row r="93" ht="56" customHeight="1">
      <x:c r="A93" s="3" t="str">
        <x:v>automatically apply refactorings</x:v>
      </x:c>
      <x:c r="B93" s="3" t="str">
        <x:v>Refactoring Application</x:v>
      </x:c>
      <x:c r="C93" s="3" t="str">
        <x:v>MERGE</x:v>
      </x:c>
      <x:c r="D93" s="3" t="str">
        <x:v>General Refactoring Application</x:v>
      </x:c>
      <x:c r="E93" s="3" t="str">
        <x:v>按现有语境归并同一任务的术语变体；算法、工具和质量目标不另设子任务。</x:v>
      </x:c>
      <x:c r="F93" s="3" t="str">
        <x:v>P2</x:v>
      </x:c>
    </x:row>
    <x:row r="94" ht="56" customHeight="1">
      <x:c r="A94" s="7" t="str">
        <x:v>adapt SLMs for maintenance/refactoring</x:v>
      </x:c>
      <x:c r="B94" s="7" t="str">
        <x:v>Refactoring Application</x:v>
      </x:c>
      <x:c r="C94" s="7" t="str">
        <x:v>MERGE</x:v>
      </x:c>
      <x:c r="D94" s="7" t="str">
        <x:v>General Refactoring Application</x:v>
      </x:c>
      <x:c r="E94" s="7" t="str">
        <x:v>按现有语境归并同一任务的术语变体；算法、工具和质量目标不另设子任务。</x:v>
      </x:c>
      <x:c r="F94" s="7" t="str">
        <x:v>P18</x:v>
      </x:c>
    </x:row>
    <x:row r="95" ht="56" customHeight="1">
      <x:c r="A95" s="3" t="str">
        <x:v>refactoring applied; refactoring performed automatically</x:v>
      </x:c>
      <x:c r="B95" s="3" t="str">
        <x:v>Refactoring Application</x:v>
      </x:c>
      <x:c r="C95" s="3" t="str">
        <x:v>MERGE</x:v>
      </x:c>
      <x:c r="D95" s="3" t="str">
        <x:v>Code-level Refactoring Transformation</x:v>
      </x:c>
      <x:c r="E95" s="3" t="str">
        <x:v>按现有语境归并同一任务的术语变体；算法、工具和质量目标不另设子任务。</x:v>
      </x:c>
      <x:c r="F95" s="3" t="str">
        <x:v>P8</x:v>
      </x:c>
    </x:row>
    <x:row r="96" ht="56" customHeight="1">
      <x:c r="A96" s="7" t="str">
        <x:v>code refactoring application</x:v>
      </x:c>
      <x:c r="B96" s="7" t="str">
        <x:v>Refactoring Application</x:v>
      </x:c>
      <x:c r="C96" s="7" t="str">
        <x:v>MERGE</x:v>
      </x:c>
      <x:c r="D96" s="7" t="str">
        <x:v>Code-level Refactoring Transformation</x:v>
      </x:c>
      <x:c r="E96" s="7" t="str">
        <x:v>按现有语境归并同一任务的术语变体；算法、工具和质量目标不另设子任务。</x:v>
      </x:c>
      <x:c r="F96" s="7" t="str">
        <x:v>P14</x:v>
      </x:c>
    </x:row>
    <x:row r="97" ht="56" customHeight="1">
      <x:c r="A97" s="3" t="str">
        <x:v>code refactoring suggestions and synthesized transforms</x:v>
      </x:c>
      <x:c r="B97" s="3" t="str">
        <x:v>Refactoring Application</x:v>
      </x:c>
      <x:c r="C97" s="3" t="str">
        <x:v>MERGE</x:v>
      </x:c>
      <x:c r="D97" s="3" t="str">
        <x:v>Code-level Refactoring Transformation</x:v>
      </x:c>
      <x:c r="E97" s="3" t="str">
        <x:v>按现有语境归并同一任务的术语变体；算法、工具和质量目标不另设子任务。</x:v>
      </x:c>
      <x:c r="F97" s="3" t="str">
        <x:v>P18</x:v>
      </x:c>
    </x:row>
    <x:row r="98" ht="56" customHeight="1">
      <x:c r="A98" s="7" t="str">
        <x:v>transform code snippets across programming languages</x:v>
      </x:c>
      <x:c r="B98" s="7" t="str">
        <x:v>Refactoring Application</x:v>
      </x:c>
      <x:c r="C98" s="7" t="str">
        <x:v>MERGE</x:v>
      </x:c>
      <x:c r="D98" s="7" t="str">
        <x:v>Code-level Refactoring Transformation</x:v>
      </x:c>
      <x:c r="E98" s="7" t="str">
        <x:v>按现有语境归并同一任务的术语变体；算法、工具和质量目标不另设子任务。</x:v>
      </x:c>
      <x:c r="F98" s="7" t="str">
        <x:v>P21</x:v>
      </x:c>
    </x:row>
    <x:row r="99" ht="56" customHeight="1">
      <x:c r="A99" s="3" t="str">
        <x:v>automate rename refactoring</x:v>
      </x:c>
      <x:c r="B99" s="3" t="str">
        <x:v>Refactoring Application</x:v>
      </x:c>
      <x:c r="C99" s="3" t="str">
        <x:v>MERGE</x:v>
      </x:c>
      <x:c r="D99" s="3" t="str">
        <x:v>Code-level Refactoring Transformation</x:v>
      </x:c>
      <x:c r="E99" s="3" t="str">
        <x:v>按现有语境归并同一任务的术语变体；算法、工具和质量目标不另设子任务。</x:v>
      </x:c>
      <x:c r="F99" s="3" t="str">
        <x:v>P21</x:v>
      </x:c>
    </x:row>
    <x:row r="100" ht="56" customHeight="1">
      <x:c r="A100" s="7" t="str">
        <x:v>Extract Method and other within-class refactorings</x:v>
      </x:c>
      <x:c r="B100" s="7" t="str">
        <x:v>Refactoring Application</x:v>
      </x:c>
      <x:c r="C100" s="7" t="str">
        <x:v>MERGE</x:v>
      </x:c>
      <x:c r="D100" s="7" t="str">
        <x:v>Code-level Refactoring Transformation</x:v>
      </x:c>
      <x:c r="E100" s="7" t="str">
        <x:v>按现有语境归并同一任务的术语变体；算法、工具和质量目标不另设子任务。</x:v>
      </x:c>
      <x:c r="F100" s="7" t="str">
        <x:v>P21</x:v>
      </x:c>
    </x:row>
    <x:row r="101" ht="56" customHeight="1">
      <x:c r="A101" s="3" t="str">
        <x:v>generate code refactorings</x:v>
      </x:c>
      <x:c r="B101" s="3" t="str">
        <x:v>Refactoring Application</x:v>
      </x:c>
      <x:c r="C101" s="3" t="str">
        <x:v>MERGE</x:v>
      </x:c>
      <x:c r="D101" s="3" t="str">
        <x:v>Code-level Refactoring Transformation</x:v>
      </x:c>
      <x:c r="E101" s="3" t="str">
        <x:v>按现有语境归并同一任务的术语变体；算法、工具和质量目标不另设子任务。</x:v>
      </x:c>
      <x:c r="F101" s="3" t="str">
        <x:v>P22</x:v>
      </x:c>
    </x:row>
    <x:row r="102" ht="56" customHeight="1">
      <x:c r="A102" s="7" t="str">
        <x:v>Move Method refactoring with semantic analysis and retrieval</x:v>
      </x:c>
      <x:c r="B102" s="7" t="str">
        <x:v>Refactoring Application</x:v>
      </x:c>
      <x:c r="C102" s="7" t="str">
        <x:v>MERGE</x:v>
      </x:c>
      <x:c r="D102" s="7" t="str">
        <x:v>Code-level Refactoring Transformation</x:v>
      </x:c>
      <x:c r="E102" s="7" t="str">
        <x:v>按现有语境归并同一任务的术语变体；算法、工具和质量目标不另设子任务。</x:v>
      </x:c>
      <x:c r="F102" s="7" t="str">
        <x:v>P22</x:v>
      </x:c>
    </x:row>
    <x:row r="103" ht="56" customHeight="1">
      <x:c r="A103" s="3" t="str">
        <x:v>application characteristics describe how and when a composite was applied</x:v>
      </x:c>
      <x:c r="B103" s="3" t="str">
        <x:v>Refactoring Application</x:v>
      </x:c>
      <x:c r="C103" s="3" t="str">
        <x:v>MERGE</x:v>
      </x:c>
      <x:c r="D103" s="3" t="str">
        <x:v>Composite Refactoring Application</x:v>
      </x:c>
      <x:c r="E103" s="3" t="str">
        <x:v>按现有语境归并同一任务的术语变体；算法、工具和质量目标不另设子任务。</x:v>
      </x:c>
      <x:c r="F103" s="3" t="str">
        <x:v>P13</x:v>
      </x:c>
    </x:row>
    <x:row r="104" ht="56" customHeight="1">
      <x:c r="A104" s="7" t="str">
        <x:v>iterative refactoring to reduce cyclomatic complexity</x:v>
      </x:c>
      <x:c r="B104" s="7" t="str">
        <x:v>Quality Impact Assessment; Refactoring Application</x:v>
      </x:c>
      <x:c r="C104" s="7" t="str">
        <x:v>SPLIT</x:v>
      </x:c>
      <x:c r="D104" s="7" t="str">
        <x:v>Composite Refactoring Application; Software Quality Impact Assessment</x:v>
      </x:c>
      <x:c r="E104" s="7" t="str">
        <x:v>按不同输出分别映射活动；每一映射的证据状态以RQ1_Frozen_Mapping为准。</x:v>
      </x:c>
      <x:c r="F104" s="7" t="str">
        <x:v>P22</x:v>
      </x:c>
    </x:row>
    <x:row r="105" ht="56" customHeight="1">
      <x:c r="A105" s="3" t="str">
        <x:v>architecture/package restructuring</x:v>
      </x:c>
      <x:c r="B105" s="3" t="str">
        <x:v>Refactoring Application</x:v>
      </x:c>
      <x:c r="C105" s="3" t="str">
        <x:v>MERGE</x:v>
      </x:c>
      <x:c r="D105" s="3" t="str">
        <x:v>Architectural Restructuring</x:v>
      </x:c>
      <x:c r="E105" s="3" t="str">
        <x:v>按现有语境归并同一任务的术语变体；算法、工具和质量目标不另设子任务。</x:v>
      </x:c>
      <x:c r="F105" s="3" t="str">
        <x:v>P7</x:v>
      </x:c>
    </x:row>
    <x:row r="106" ht="56" customHeight="1">
      <x:c r="A106" s="7" t="str">
        <x:v>microservice decomposition</x:v>
      </x:c>
      <x:c r="B106" s="7" t="str">
        <x:v>Refactoring Application</x:v>
      </x:c>
      <x:c r="C106" s="7" t="str">
        <x:v>MERGE</x:v>
      </x:c>
      <x:c r="D106" s="7" t="str">
        <x:v>Architectural Restructuring</x:v>
      </x:c>
      <x:c r="E106" s="7" t="str">
        <x:v>按现有语境归并同一任务的术语变体；算法、工具和质量目标不另设子任务。</x:v>
      </x:c>
      <x:c r="F106" s="7" t="str">
        <x:v>P14</x:v>
      </x:c>
    </x:row>
    <x:row r="107" ht="56" customHeight="1">
      <x:c r="A107" s="3" t="str">
        <x:v>evaluate improved artifact quality with metrics</x:v>
      </x:c>
      <x:c r="B107" s="3" t="str">
        <x:v>Quality Impact Assessment</x:v>
      </x:c>
      <x:c r="C107" s="3" t="str">
        <x:v>MERGE</x:v>
      </x:c>
      <x:c r="D107" s="3" t="str">
        <x:v>Software Quality Impact Assessment</x:v>
      </x:c>
      <x:c r="E107" s="3" t="str">
        <x:v>按现有语境归并同一任务的术语变体；算法、工具和质量目标不另设子任务。</x:v>
      </x:c>
      <x:c r="F107" s="3" t="str">
        <x:v>P2</x:v>
      </x:c>
    </x:row>
    <x:row r="108" ht="56" customHeight="1">
      <x:c r="A108" s="7" t="str">
        <x:v>report benefits and software metrics associated with refactoring techniques</x:v>
      </x:c>
      <x:c r="B108" s="7" t="str">
        <x:v>Quality Impact Assessment</x:v>
      </x:c>
      <x:c r="C108" s="7" t="str">
        <x:v>MERGE</x:v>
      </x:c>
      <x:c r="D108" s="7" t="str">
        <x:v>Software Quality Impact Assessment</x:v>
      </x:c>
      <x:c r="E108" s="7" t="str">
        <x:v>按现有语境归并同一任务的术语变体；算法、工具和质量目标不另设子任务。</x:v>
      </x:c>
      <x:c r="F108" s="7" t="str">
        <x:v>P8</x:v>
      </x:c>
    </x:row>
    <x:row r="109" ht="56" customHeight="1">
      <x:c r="A109" s="3" t="str">
        <x:v>effects of applying composite refactoring on software projects</x:v>
      </x:c>
      <x:c r="B109" s="3" t="str">
        <x:v>Quality Impact Assessment</x:v>
      </x:c>
      <x:c r="C109" s="3" t="str">
        <x:v>MERGE</x:v>
      </x:c>
      <x:c r="D109" s="3" t="str">
        <x:v>Software Quality Impact Assessment</x:v>
      </x:c>
      <x:c r="E109" s="3" t="str">
        <x:v>按现有语境归并同一任务的术语变体；算法、工具和质量目标不另设子任务。</x:v>
      </x:c>
      <x:c r="F109" s="3" t="str">
        <x:v>P13</x:v>
      </x:c>
    </x:row>
    <x:row r="110" ht="56" customHeight="1">
      <x:c r="A110" s="7" t="str">
        <x:v>documentation maintenance</x:v>
      </x:c>
      <x:c r="B110" s="7" t="str">
        <x:v>Artifact Consistency Maintenance</x:v>
      </x:c>
      <x:c r="C110" s="7" t="str">
        <x:v>MERGE</x:v>
      </x:c>
      <x:c r="D110" s="7" t="str">
        <x:v>Cross-artifact Consistency Maintenance</x:v>
      </x:c>
      <x:c r="E110" s="7" t="str">
        <x:v>按现有语境归并同一任务的术语变体；算法、工具和质量目标不另设子任务。</x:v>
      </x:c>
      <x:c r="F110" s="7" t="str">
        <x:v>P15</x:v>
      </x:c>
    </x:row>
    <x:row r="111" ht="56" customHeight="1">
      <x:c r="A111" s="3" t="str">
        <x:v>Identify destination class and recommend Move Method</x:v>
      </x:c>
      <x:c r="B111" s="3" t="str">
        <x:v>Opportunity Identification; Refactoring Selection</x:v>
      </x:c>
      <x:c r="C111" s="3" t="str">
        <x:v>REASSIGN</x:v>
      </x:c>
      <x:c r="D111" s="3" t="str">
        <x:v>Refactoring Operation Selection</x:v>
      </x:c>
      <x:c r="E111" s="3" t="str">
        <x:v>目的类选择回答如何配置Move Method，归A2；沿用18任务版已作出的纠正，不回填A1。</x:v>
      </x:c>
      <x:c r="F111" s="3" t="str">
        <x:v>P20</x:v>
      </x:c>
    </x:row>
    <x:row r="112" ht="56" customHeight="1">
      <x:c r="A112" s="7" t="str">
        <x:v>code refactoring application (E044)</x:v>
      </x:c>
      <x:c r="B112" s="7" t="str">
        <x:v>Refactoring Application</x:v>
      </x:c>
      <x:c r="C112" s="7" t="str">
        <x:v>REASSIGN</x:v>
      </x:c>
      <x:c r="D112" s="7" t="str">
        <x:v>Architectural Restructuring</x:v>
      </x:c>
      <x:c r="E112" s="7" t="str">
        <x:v>P14 Table 5 ref.33明确为微服务划分；代码级转换行改用同综述Table 4 ref.37支撑，原Evidence保留。</x:v>
      </x:c>
      <x:c r="F112" s="7" t="str">
        <x:v>P14</x:v>
      </x:c>
    </x:row>
    <x:row r="113" ht="57" customHeight="1">
      <x:c r="A113" s="3" t="str">
        <x:v>Validate refactoring-engine behavior</x:v>
      </x:c>
      <x:c r="B113" s="3" t="str">
        <x:v>Behavior Preservation; Quality Impact Assessment</x:v>
      </x:c>
      <x:c r="C113" s="3" t="str">
        <x:v>EXCLUDE</x:v>
      </x:c>
      <x:c r="D113" s="3" t="str">
        <x:v>Dynamic Behavior Preservation Validation</x:v>
      </x:c>
      <x:c r="E113" s="3" t="str">
        <x:v>Historical issue retained for audit; final manual disposition supersedes this earlier concern. 不恢复已删除的A5；只有引擎测试明确检验行为保持时才纳入A3。</x:v>
      </x:c>
      <x:c r="F113" s="3" t="str">
        <x:v>P22</x:v>
      </x:c>
    </x:row>
    <x:row r="114" ht="56" customHeight="1">
      <x:c r="A114" s="7" t="str">
        <x:v>Static/semantic preservation; Test/dynamic validation</x:v>
      </x:c>
      <x:c r="B114" s="7" t="str">
        <x:v>Behavior Preservation</x:v>
      </x:c>
      <x:c r="C114" s="7" t="str">
        <x:v>KEEP</x:v>
      </x:c>
      <x:c r="D114" s="7" t="str">
        <x:v>Static Behavior Preservation Verification; Dynamic Behavior Preservation Validation</x:v>
      </x:c>
      <x:c r="E114" s="7" t="str">
        <x:v>保留静态证明/条件检查与执行测试两类验证任务，二者验证义务和证据输出不同；不按具体算法继续拆分。</x:v>
      </x:c>
      <x:c r="F114" s="7" t="str">
        <x:v>P2, P9, P15, P22</x:v>
      </x:c>
    </x:row>
    <x:row r="115" ht="57" customHeight="1">
      <x:c r="A115" s="3" t="str">
        <x:v>General; Code-level; Composite; Architectural application</x:v>
      </x:c>
      <x:c r="B115" s="3" t="str">
        <x:v>Refactoring Application</x:v>
      </x:c>
      <x:c r="C115" s="3" t="str">
        <x:v>KEEP</x:v>
      </x:c>
      <x:c r="D115" s="3" t="str">
        <x:v>General Refactoring Application; Code-level Refactoring Transformation; Composite Refactoring Application; Architectural Restructuring</x:v>
      </x:c>
      <x:c r="E115" s="3" t="str">
        <x:v>General仅为信息不足时的残余类别；同条证据优先按架构重组、明确复合执行、局部代码转换归类，禁止父子重复计数。</x:v>
      </x:c>
      <x:c r="F115" s="3" t="str">
        <x:v>P2, P3, P7, P8, P13, P14, P17, P18, P21, P22, P24</x:v>
      </x:c>
    </x:row>
    <x:row r="116" ht="56" customHeight="1">
      <x:c r="A116" s="7" t="str">
        <x:v>Clone-based Candidate Identification</x:v>
      </x:c>
      <x:c r="B116" s="7" t="str">
        <x:v>Unchanged</x:v>
      </x:c>
      <x:c r="C116" s="7" t="str">
        <x:v>RENAME</x:v>
      </x:c>
      <x:c r="D116" s="7" t="str">
        <x:v>Clone-based Opportunity Identification</x:v>
      </x:c>
      <x:c r="E116" s="7" t="str">
        <x:v>Final canonical terminology; mapping scope unchanged.</x:v>
      </x:c>
      <x:c r="F116" s="7" t="str">
        <x:v>P1–P25</x:v>
      </x:c>
    </x:row>
    <x:row r="117" ht="56" customHeight="1">
      <x:c r="A117" s="3" t="str">
        <x:v>Operation-specific Candidate Identification</x:v>
      </x:c>
      <x:c r="B117" s="3" t="str">
        <x:v>Unchanged</x:v>
      </x:c>
      <x:c r="C117" s="3" t="str">
        <x:v>RENAME</x:v>
      </x:c>
      <x:c r="D117" s="3" t="str">
        <x:v>Operation-specific Opportunity Identification</x:v>
      </x:c>
      <x:c r="E117" s="3" t="str">
        <x:v>Final canonical terminology; mapping scope unchanged.</x:v>
      </x:c>
      <x:c r="F117" s="3" t="str">
        <x:v>P1–P25</x:v>
      </x:c>
    </x:row>
    <x:row r="118" ht="56" customHeight="1">
      <x:c r="A118" s="7" t="str">
        <x:v>General Automated Refactoring</x:v>
      </x:c>
      <x:c r="B118" s="7" t="str">
        <x:v>Unchanged</x:v>
      </x:c>
      <x:c r="C118" s="7" t="str">
        <x:v>RENAME</x:v>
      </x:c>
      <x:c r="D118" s="7" t="str">
        <x:v>General Refactoring Application</x:v>
      </x:c>
      <x:c r="E118" s="7" t="str">
        <x:v>Final canonical terminology; mapping scope unchanged.</x:v>
      </x:c>
      <x:c r="F118" s="7" t="str">
        <x:v>P1–P25</x:v>
      </x:c>
    </x:row>
    <x:row r="119" ht="147" customHeight="1">
      <x:c r="A119" s="3" t="str">
        <x:v>Smell-based Opportunity Identification</x:v>
      </x:c>
      <x:c r="B119" s="3" t="str">
        <x:v>Opportunity Identification</x:v>
      </x:c>
      <x:c r="C119" s="3" t="str">
        <x:v>KEEP</x:v>
      </x:c>
      <x:c r="D119" s="3" t="str">
        <x:v>Smell-based Opportunity Identification</x:v>
      </x:c>
      <x:c r="E119" s="3" t="str">
        <x:v>Final manual adjudication: KEEP. Historical evidence and location: [E023] 原始任务: use code smells as pointers for determining opportunities for refactoring
原始Evidence单元格（保留，不一律视为逐字引文）: Section 5.2 treats code smells as pointers/candidates for determining refactoring opportunities and lists the smells investigated. | [E023] PDF pp.8–9, Section 5.2/RQ1 and Table 5</x:v>
      </x:c>
      <x:c r="F119" s="3" t="str">
        <x:v>P8</x:v>
      </x:c>
    </x:row>
    <x:row r="120" ht="177" customHeight="1">
      <x:c r="A120" s="7" t="str">
        <x:v>Clone-based Candidate Identification</x:v>
      </x:c>
      <x:c r="B120" s="7" t="str">
        <x:v>Opportunity Identification</x:v>
      </x:c>
      <x:c r="C120" s="7" t="str">
        <x:v>EXCLUDE</x:v>
      </x:c>
      <x:c r="D120" s="7" t="str">
        <x:v>Clone-based Opportunity Identification</x:v>
      </x:c>
      <x:c r="E120" s="7" t="str">
        <x:v>Final manual adjudication: EXCLUDE. Historical evidence and location: [E021] 原始任务: alert possible refactoring opportunity from cloning
原始Evidence单元格（保留，不一律视为逐字引文）: Cloning mechanisms alert developers to possible refactoring opportunities.
回查PDF原文: Cloning identifies code that is similar (as clones) and it alerts to a possible refactoring opportunity. | [E021] PDF p.25, Discussion
回查: P7, PDF p.25</x:v>
      </x:c>
      <x:c r="F120" s="7" t="str">
        <x:v>P7</x:v>
      </x:c>
    </x:row>
    <x:row r="121" ht="117" customHeight="1">
      <x:c r="A121" s="3" t="str">
        <x:v>Operation-specific Candidate Identification</x:v>
      </x:c>
      <x:c r="B121" s="3" t="str">
        <x:v>Opportunity Identification</x:v>
      </x:c>
      <x:c r="C121" s="3" t="str">
        <x:v>KEEP</x:v>
      </x:c>
      <x:c r="D121" s="3" t="str">
        <x:v>Operation-specific Opportunity Identification</x:v>
      </x:c>
      <x:c r="E121" s="3" t="str">
        <x:v>Final manual adjudication: KEEP. Historical evidence and location: [E042] 原始任务: rename refactoring opportunity identification
原始Evidence单元格（保留，不一律视为逐字引文）: Table 4 maps CNN; MLP; BERT; TextCNN to rename refactoring opportunity identification. | [E042] PDF pp.5–6, Table 4; pp.12–14, Discussion</x:v>
      </x:c>
      <x:c r="F121" s="3" t="str">
        <x:v>P14</x:v>
      </x:c>
    </x:row>
    <x:row r="122" ht="117" customHeight="1">
      <x:c r="A122" s="7" t="str">
        <x:v>Architectural Opportunity Identification</x:v>
      </x:c>
      <x:c r="B122" s="7" t="str">
        <x:v>Opportunity Identification</x:v>
      </x:c>
      <x:c r="C122" s="7" t="str">
        <x:v>EXCLUDE</x:v>
      </x:c>
      <x:c r="D122" s="7" t="str">
        <x:v>Architectural Opportunity Identification</x:v>
      </x:c>
      <x:c r="E122" s="7" t="str">
        <x:v>Final manual adjudication: EXCLUDE. Historical evidence and location: [E043] 原始任务: monolith decomposition
原始Evidence单元格（保留，不一律视为逐字引文）: Table 4 maps Graph Neural Network; CO-GCN; K-means++ to monolith decomposition. | [E043] PDF pp.5–6, Table 4; pp.12–14, Discussion</x:v>
      </x:c>
      <x:c r="F122" s="7" t="str">
        <x:v>P14</x:v>
      </x:c>
    </x:row>
    <x:row r="123" ht="87" customHeight="1">
      <x:c r="A123" s="3" t="str">
        <x:v>Refactoring Need Prediction</x:v>
      </x:c>
      <x:c r="B123" s="3" t="str">
        <x:v>Opportunity Identification</x:v>
      </x:c>
      <x:c r="C123" s="3" t="str">
        <x:v>KEEP</x:v>
      </x:c>
      <x:c r="D123" s="3" t="str">
        <x:v>Refactoring Need Prediction</x:v>
      </x:c>
      <x:c r="E123" s="3" t="str">
        <x:v>Final manual adjudication: KEEP. Historical evidence and location: [E048] 原始任务: prediction stage
原始Evidence单元格（保留，不一律视为逐字引文）: Random Forest is dominant for Prediction (29.41%). | [E048] PDF pp.3–5, Table III and Results</x:v>
      </x:c>
      <x:c r="F123" s="3" t="str">
        <x:v>P15</x:v>
      </x:c>
    </x:row>
    <x:row r="124" ht="192" customHeight="1">
      <x:c r="A124" s="7" t="str">
        <x:v>Refactoring Need Prediction</x:v>
      </x:c>
      <x:c r="B124" s="7" t="str">
        <x:v>Opportunity Identification</x:v>
      </x:c>
      <x:c r="C124" s="7" t="str">
        <x:v>EXCLUDE</x:v>
      </x:c>
      <x:c r="D124" s="7" t="str">
        <x:v>Refactoring Need Prediction</x:v>
      </x:c>
      <x:c r="E124" s="7" t="str">
        <x:v>Final manual adjudication: EXCLUDE. Historical evidence and location: [E052] 原始任务: predict refactoring activities from commit and code metrics
原始Evidence单元格（保留，不一律视为逐字引文）: A Random Forest model predicts refactoring using commit and code metrics.
回查PDF原文: Sagar et al. [107] compare commit messages and source code metrics to predictExtract Method refactoring. | [E052] PDF p.13, ML-based approaches
回查: P16, PDF p.13</x:v>
      </x:c>
      <x:c r="F124" s="7" t="str">
        <x:v>P16</x:v>
      </x:c>
    </x:row>
    <x:row r="125" ht="102" customHeight="1">
      <x:c r="A125" s="3" t="str">
        <x:v>Refactoring Operation Selection</x:v>
      </x:c>
      <x:c r="B125" s="3" t="str">
        <x:v>Refactoring Selection</x:v>
      </x:c>
      <x:c r="C125" s="3" t="str">
        <x:v>EXCLUDE</x:v>
      </x:c>
      <x:c r="D125" s="3" t="str">
        <x:v>Refactoring Operation Selection</x:v>
      </x:c>
      <x:c r="E125" s="3" t="str">
        <x:v>Final manual adjudication: EXCLUDE. Historical evidence and location: [E006] 原始任务: remove bad smells from code
原始Evidence单元格（保留，不一律视为逐字引文）: A methodology used Genetic Algorithms ... to remove bad smell from source code. | [E006] PDF p.6, Results synthesis</x:v>
      </x:c>
      <x:c r="F125" s="3" t="str">
        <x:v>P3</x:v>
      </x:c>
    </x:row>
    <x:row r="126" ht="117" customHeight="1">
      <x:c r="A126" s="7" t="str">
        <x:v>Refactoring Operation Selection</x:v>
      </x:c>
      <x:c r="B126" s="7" t="str">
        <x:v>Refactoring Selection</x:v>
      </x:c>
      <x:c r="C126" s="7" t="str">
        <x:v>EXCLUDE</x:v>
      </x:c>
      <x:c r="D126" s="7" t="str">
        <x:v>Refactoring Operation Selection</x:v>
      </x:c>
      <x:c r="E126" s="7" t="str">
        <x:v>Final manual adjudication: EXCLUDE. Historical evidence and location: [E024] 原始任务: provide refactoring suggestions for identified code smells
原始Evidence单元格（保留，不一律视为逐字引文）: RQ1.1 lists refactoring suggestions for specific smells, including Move Method, Extract Method and Extract Class. | [E024] PDF pp.8–9, Section 5.2/RQ1.1</x:v>
      </x:c>
      <x:c r="F126" s="7" t="str">
        <x:v>P8</x:v>
      </x:c>
    </x:row>
    <x:row r="127" ht="117" customHeight="1">
      <x:c r="A127" s="3" t="str">
        <x:v>Refactoring Candidate Prioritization</x:v>
      </x:c>
      <x:c r="B127" s="3" t="str">
        <x:v>Refactoring Selection</x:v>
      </x:c>
      <x:c r="C127" s="3" t="str">
        <x:v>EXCLUDE</x:v>
      </x:c>
      <x:c r="D127" s="3" t="str">
        <x:v>Refactoring Candidate Prioritization</x:v>
      </x:c>
      <x:c r="E127" s="3" t="str">
        <x:v>Final manual adjudication: EXCLUDE. Historical evidence and location: [E017] 原始任务: code smell prioritization for scheduling refactoring operations
原始Evidence单元格（保留，不一律视为逐字引文）: Smell intensity is important when scheduling refactoring operations; only about 20% addressed prioritization. | [E017] PDF pp.41–43, Discussion/Future directions</x:v>
      </x:c>
      <x:c r="F127" s="3" t="str">
        <x:v>P6</x:v>
      </x:c>
    </x:row>
    <x:row r="128" ht="102" customHeight="1">
      <x:c r="A128" s="7" t="str">
        <x:v>Refactoring Candidate Prioritization</x:v>
      </x:c>
      <x:c r="B128" s="7" t="str">
        <x:v>Refactoring Selection</x:v>
      </x:c>
      <x:c r="C128" s="7" t="str">
        <x:v>KEEP</x:v>
      </x:c>
      <x:c r="D128" s="7" t="str">
        <x:v>Refactoring Candidate Prioritization</x:v>
      </x:c>
      <x:c r="E128" s="7" t="str">
        <x:v>Final manual adjudication: KEEP. Historical evidence and location: [E087] 原始任务: classify code smell intensity to prioritize refactoring efforts
原始Evidence单元格（保留，不一律视为逐字引文）: ML approaches classify code-smell intensity to prioritize refactoring efforts. | [E087] PDF p.5, Literature synthesis</x:v>
      </x:c>
      <x:c r="F128" s="7" t="str">
        <x:v>P25</x:v>
      </x:c>
    </x:row>
    <x:row r="129" ht="162" customHeight="1">
      <x:c r="A129" s="3" t="str">
        <x:v>Dynamic Behavior Preservation Validation</x:v>
      </x:c>
      <x:c r="B129" s="3" t="str">
        <x:v>Behavior Preservation</x:v>
      </x:c>
      <x:c r="C129" s="3" t="str">
        <x:v>EXCLUDE</x:v>
      </x:c>
      <x:c r="D129" s="3" t="str">
        <x:v>Dynamic Behavior Preservation Validation</x:v>
      </x:c>
      <x:c r="E129" s="3" t="str">
        <x:v>Final manual adjudication: EXCLUDE. Historical evidence and location: [E049] 原始任务: testing after/around refactoring
原始Evidence单元格（保留，不一律视为逐字引文）: Testing appears as an AI-supported refactoring stage in the review taxonomy.
回查PDF原文: Testing 1.28 18.44 1 | [E049] PDF pp.3–4, Table III
回查: P15, PDF p.4</x:v>
      </x:c>
      <x:c r="F129" s="3" t="str">
        <x:v>P15</x:v>
      </x:c>
    </x:row>
    <x:row r="130" ht="102" customHeight="1">
      <x:c r="A130" s="7" t="str">
        <x:v>Dynamic Behavior Preservation Validation</x:v>
      </x:c>
      <x:c r="B130" s="7" t="str">
        <x:v>Behavior Preservation</x:v>
      </x:c>
      <x:c r="C130" s="7" t="str">
        <x:v>EXCLUDE</x:v>
      </x:c>
      <x:c r="D130" s="7" t="str">
        <x:v>Dynamic Behavior Preservation Validation</x:v>
      </x:c>
      <x:c r="E130" s="7" t="str">
        <x:v>Final manual adjudication: EXCLUDE. Historical evidence and location: [E080] 原始任务: test refactoring engines and detect refactoring bugs
原始Evidence单元格（保留，不一律视为逐字引文）: LLMs identified 86 refactoring-engine bugs versus 24 for the baseline. | [E080] PDF p.6 and pp.28–29, Results/Table 9</x:v>
      </x:c>
      <x:c r="F130" s="7" t="str">
        <x:v>P22</x:v>
      </x:c>
    </x:row>
    <x:row r="131" ht="102" customHeight="1">
      <x:c r="A131" s="3" t="str">
        <x:v>General Automated Refactoring</x:v>
      </x:c>
      <x:c r="B131" s="3" t="str">
        <x:v>Refactoring Application</x:v>
      </x:c>
      <x:c r="C131" s="3" t="str">
        <x:v>EXCLUDE</x:v>
      </x:c>
      <x:c r="D131" s="3" t="str">
        <x:v>General Refactoring Application</x:v>
      </x:c>
      <x:c r="E131" s="3" t="str">
        <x:v>Final manual adjudication: EXCLUDE. Historical evidence and location: [E061] 原始任务: adapt SLMs for maintenance/refactoring
原始Evidence单元格（保留，不一律视为逐字引文）: PEFT methods include prompt tuning, prefix tuning, LoRA, and (IA)3. | [E061] PDF pp.5–6, Section 3.3</x:v>
      </x:c>
      <x:c r="F131" s="3" t="str">
        <x:v>P18</x:v>
      </x:c>
    </x:row>
    <x:row r="132" ht="132" customHeight="1">
      <x:c r="A132" s="7" t="str">
        <x:v>Code-level Refactoring Transformation</x:v>
      </x:c>
      <x:c r="B132" s="7" t="str">
        <x:v>Refactoring Application</x:v>
      </x:c>
      <x:c r="C132" s="7" t="str">
        <x:v>EXCLUDE</x:v>
      </x:c>
      <x:c r="D132" s="7" t="str">
        <x:v>Code-level Refactoring Transformation</x:v>
      </x:c>
      <x:c r="E132" s="7" t="str">
        <x:v>Final manual adjudication: EXCLUDE. Historical evidence and location: [E025] 原始任务: refactoring applied; refactoring performed automatically
原始Evidence单元格（保留，不一律视为逐字引文）: Table 6 separates refactoring applied from refactoring identified; Table 10 and RQ5.1 report that refactoring was performed automatically in 25 studies. | [E025] PDF pp.10–11 and 14, RQ2/Table 6 and RQ5.1/Table 10</x:v>
      </x:c>
      <x:c r="F132" s="7" t="str">
        <x:v>P8</x:v>
      </x:c>
    </x:row>
    <x:row r="133" ht="117" customHeight="1">
      <x:c r="A133" s="3" t="str">
        <x:v>Code-level Refactoring Transformation</x:v>
      </x:c>
      <x:c r="B133" s="3" t="str">
        <x:v>Refactoring Application</x:v>
      </x:c>
      <x:c r="C133" s="3" t="str">
        <x:v>KEEP</x:v>
      </x:c>
      <x:c r="D133" s="3" t="str">
        <x:v>Code-level Refactoring Transformation</x:v>
      </x:c>
      <x:c r="E133" s="3" t="str">
        <x:v>Final manual adjudication: KEEP. Historical evidence and location: [E059] 原始任务: code refactoring suggestions and synthesized transforms
原始Evidence单元格（保留，不一律视为逐字引文）: SLMs can match or outperform LLMs in refactoring tasks; synthesized transforms can perform equally well. | [E059] PDF pp.6–8, Sections 3.4–3.6</x:v>
      </x:c>
      <x:c r="F133" s="3" t="str">
        <x:v>P18</x:v>
      </x:c>
    </x:row>
    <x:row r="134" ht="409" customHeight="1">
      <x:c r="A134" s="7" t="str">
        <x:v>Software Quality Impact Assessment</x:v>
      </x:c>
      <x:c r="B134" s="7" t="str">
        <x:v>Quality Impact Assessment</x:v>
      </x:c>
      <x:c r="C134" s="7" t="str">
        <x:v>EXCLUDE</x:v>
      </x:c>
      <x:c r="D134" s="7" t="str">
        <x:v>Software Quality Impact Assessment</x:v>
      </x:c>
      <x:c r="E134" s="7" t="str">
        <x:v>Final manual adjudication: EXCLUDE. Historical evidence and location: [E010] 原始任务: multi-objective software refactoring
原始Evidence单元格（保留，不一律视为逐字引文）: Genetic Algorithm (GA) is listed among algorithms used for multi-objective software refactoring.
[E011] 原始任务: multi-objective software refactoring
原始Evidence单元格（保留，不一律视为逐字引文）: Multi-Objective Particle Swarm Optimization (MOPSO) is listed among algorithms used for multi-objective software refactoring.
[E012] 原始任务: multi-objective software refactoring
原始Evidence单元格（保留，不一律视为逐字引文）: NSGA-II is listed among algorithms used for multi-objective software refactoring.
[E013] 原始任务: multi-objective software refactoring
原始Evidence单元格（保留，不一律视为逐字引文）: NSGA-III is listed among algorithms used for multi-objective software refactoring.
[E014] 原始任务: multi-objective software refactoring
原始Evidence单元格（保留，不一律视为逐字引文）: MOEA/D is listed among algorithms used for multi-objective software refactoring.
[E015] 原始任务: multi-objective software refactoring
原始Evidence单元格（保留，不一律视为逐字引文）: IBEA is listed among algorithms used for multi-objective software refactoring. | [E010] PDF pp.4–6, Table VI and Discussion
[E011] PDF pp.4–6, Table VI and Discussion
[E012] PDF pp.4–6, Table VI and Discussion
[E013] PDF pp.4–6, Table VI and Discussion
[E014] PDF pp.4–6, Table VI and Discussion
[E015] PDF pp.4–6, Table VI and Discussion</x:v>
      </x:c>
      <x:c r="F134" s="7" t="str">
        <x:v>P5</x:v>
      </x:c>
    </x:row>
    <x:row r="135" ht="147" customHeight="1">
      <x:c r="A135" s="3" t="str">
        <x:v>Software Quality Impact Assessment</x:v>
      </x:c>
      <x:c r="B135" s="3" t="str">
        <x:v>Quality Impact Assessment</x:v>
      </x:c>
      <x:c r="C135" s="3" t="str">
        <x:v>EXCLUDE</x:v>
      </x:c>
      <x:c r="D135" s="3" t="str">
        <x:v>Software Quality Impact Assessment</x:v>
      </x:c>
      <x:c r="E135" s="3" t="str">
        <x:v>Final manual adjudication: EXCLUDE. Historical evidence and location: [E026] 原始任务: report benefits and software metrics associated with refactoring techniques
原始Evidence单元格（保留，不一律视为逐字引文）: RQ2.1 reports benefits such as improved cohesion/readability and reduced dependencies/duplication; RQ3 summarizes quality-related metrics. | [E026] PDF pp.10–12, RQ2.1 and RQ3</x:v>
      </x:c>
      <x:c r="F135" s="3" t="str">
        <x:v>P8</x:v>
      </x:c>
    </x:row>
    <x:row r="136" ht="117" customHeight="1">
      <x:c r="A136" s="7" t="str">
        <x:v>Software Quality Impact Assessment</x:v>
      </x:c>
      <x:c r="B136" s="7" t="str">
        <x:v>Quality Impact Assessment</x:v>
      </x:c>
      <x:c r="C136" s="7" t="str">
        <x:v>EXCLUDE</x:v>
      </x:c>
      <x:c r="D136" s="7" t="str">
        <x:v>Software Quality Impact Assessment</x:v>
      </x:c>
      <x:c r="E136" s="7" t="str">
        <x:v>Final manual adjudication: EXCLUDE. Historical evidence and location: [E037] 原始任务: effects of applying composite refactoring on software projects
原始Evidence单元格（保留，不一律视为逐字引文）: RQ3 and Summary 3 report positive and negative internal/external quality effects of applying composite refactorings. | [E037] PDF pp.4, 9–12, RQ3 and Summary 3</x:v>
      </x:c>
      <x:c r="F136" s="7" t="str">
        <x:v>P13</x:v>
      </x:c>
    </x:row>
    <x:row r="137" ht="132" customHeight="1">
      <x:c r="A137" s="3" t="str">
        <x:v>Cross-artifact Consistency Maintenance</x:v>
      </x:c>
      <x:c r="B137" s="3" t="str">
        <x:v>Artifact Consistency Maintenance</x:v>
      </x:c>
      <x:c r="C137" s="3" t="str">
        <x:v>EXCLUDE</x:v>
      </x:c>
      <x:c r="D137" s="3" t="str">
        <x:v>Cross-artifact Consistency Maintenance</x:v>
      </x:c>
      <x:c r="E137" s="3" t="str">
        <x:v>Final manual adjudication: EXCLUDE. Historical evidence and location: [E027] 原始任务: detect behavioral inconsistencies and behavior-preservation violations during model refactoring
原始Evidence单元格（保留，不一律视为逐字引文）: Description-logics reasoning detects behavioral inconsistencies and behavior-preservation violations during model refactoring. | [E027] PDF p.11, Results synthesis</x:v>
      </x:c>
      <x:c r="F137" s="3" t="str">
        <x:v>P9</x:v>
      </x:c>
    </x:row>
    <x:row r="138" ht="162" customHeight="1">
      <x:c r="A138" s="7" t="str">
        <x:v>Cross-artifact Consistency Maintenance</x:v>
      </x:c>
      <x:c r="B138" s="7" t="str">
        <x:v>Artifact Consistency Maintenance</x:v>
      </x:c>
      <x:c r="C138" s="7" t="str">
        <x:v>EXCLUDE</x:v>
      </x:c>
      <x:c r="D138" s="7" t="str">
        <x:v>Cross-artifact Consistency Maintenance</x:v>
      </x:c>
      <x:c r="E138" s="7" t="str">
        <x:v>Final manual adjudication: EXCLUDE. Historical evidence and location: [E050] 原始任务: documentation maintenance
原始Evidence单元格（保留，不一律视为逐字引文）: Documentation appears as an AI-supported refactoring stage in the review taxonomy.
回查PDF原文: Documentation 9.62 5.22 4 | [E050] PDF pp.3–4, Table III
回查: P15, PDF p.4</x:v>
      </x:c>
      <x:c r="F138" s="7" t="str">
        <x:v>P15</x:v>
      </x:c>
    </x:row>
    <x:row r="139" ht="57" customHeight="1">
      <x:c r="A139" s="3" t="str">
        <x:v>ML code-smell detection + refactoring linkage</x:v>
      </x:c>
      <x:c r="B139" s="3" t="str">
        <x:v>Opportunity Identification</x:v>
      </x:c>
      <x:c r="C139" s="3" t="str">
        <x:v>REASSIGN</x:v>
      </x:c>
      <x:c r="D139" s="3" t="str">
        <x:v>Smell-based Opportunity Identification</x:v>
      </x:c>
      <x:c r="E139" s="3" t="str">
        <x:v>Added by final manual adjudication using within-study compositional evidence. Verified local PDF pp.6–7 (printed 5–6), related-work discussion and own studies S01/S03/S13; p.18 (printed 17), Section 3.2 RQ1. No future-work evidence used.</x:v>
      </x:c>
      <x:c r="F139" s="3" t="str">
        <x:v>P6</x:v>
      </x:c>
    </x:row>
    <x:row r="140" ht="57" customHeight="1">
      <x:c r="A140" s="7" t="str">
        <x:v>ML code-smell detection + refactoring linkage</x:v>
      </x:c>
      <x:c r="B140" s="7" t="str">
        <x:v>Opportunity Identification</x:v>
      </x:c>
      <x:c r="C140" s="7" t="str">
        <x:v>REASSIGN</x:v>
      </x:c>
      <x:c r="D140" s="7" t="str">
        <x:v>Smell-based Opportunity Identification</x:v>
      </x:c>
      <x:c r="E140" s="7" t="str">
        <x:v>Added by final manual adjudication using within-study compositional evidence. Verified local PDF p.2, Introduction (ML detection); p.6, Section 2.1, God Class/Blob example and Fig.8 (refactoring linkage).</x:v>
      </x:c>
      <x:c r="F140" s="7" t="str">
        <x:v>P20</x:v>
      </x:c>
    </x:row>
    <x:row r="141" ht="132" customHeight="1">
      <x:c r="A141" s="3" t="str">
        <x:v>Operation-specific Candidate Identification</x:v>
      </x:c>
      <x:c r="B141" s="3" t="str">
        <x:v>Opportunity Identification</x:v>
      </x:c>
      <x:c r="C141" s="3" t="str">
        <x:v>REASSIGN</x:v>
      </x:c>
      <x:c r="D141" s="3" t="str">
        <x:v>Operation-specific Opportunity Identification</x:v>
      </x:c>
      <x:c r="E141" s="3" t="str">
        <x:v>Evidence cleanup: replace name-generation E042 with ref.38 inconsistent-name detection. Historical evidence: [E042] 原始任务: rename refactoring opportunity identification
原始Evidence单元格（保留，不一律视为逐字引文）: Table 4 maps CNN; MLP; BERT; TextCNN to rename refactoring opportunity identification. | [E042] PDF pp.5–6, Table 4; pp.12–14, Discussion</x:v>
      </x:c>
      <x:c r="F141" s="3" t="str">
        <x:v>P14</x:v>
      </x:c>
    </x:row>
    <x:row r="142" ht="252" customHeight="1">
      <x:c r="A142" s="7" t="str">
        <x:v>Code-level Refactoring Transformation</x:v>
      </x:c>
      <x:c r="B142" s="7" t="str">
        <x:v>Refactoring Application</x:v>
      </x:c>
      <x:c r="C142" s="7" t="str">
        <x:v>REASSIGN</x:v>
      </x:c>
      <x:c r="D142" s="7" t="str">
        <x:v>Code-level Refactoring Transformation</x:v>
      </x:c>
      <x:c r="E142" s="7" t="str">
        <x:v>Evidence cleanup: E044 belongs only to Architectural Restructuring; retain independent confirmed ref.37 for code-level transformation. Historical evidence: [E044] 原始任务: code refactoring application
原始Evidence单元格（保留，不一律视为逐字引文）: Table 4 maps Artificial Neural Network; code2vec; AST representation to code refactoring application.
回查PDF原文: 37 RTA RNN Java N Vector space + NMT + Gerrit crawler + RNN ED UL I Various datasets
审计纠正: E044对应微服务分解，不能支撑本代码级子任务；本行改由同一综述Table 4 ref.37的NMT代码转换证据支撑。 | [E044] PDF pp.5–6, Table 4; pp.12–14, Discussion
回查: P14, PDF p.6
纠正依据: PDF pp.6–7, Tables 4–5, refs.33 and 37</x:v>
      </x:c>
      <x:c r="F142" s="7" t="str">
        <x:v>P14</x:v>
      </x:c>
    </x:row>
    <x:row r="143" ht="56" customHeight="1">
      <x:c r="A143" s="3" t="str">
        <x:v>Architectural Opportunity Identification</x:v>
      </x:c>
      <x:c r="B143" s="3" t="str">
        <x:v>Opportunity Identification</x:v>
      </x:c>
      <x:c r="C143" s="3" t="str">
        <x:v>EXCLUDE</x:v>
      </x:c>
      <x:c r="D143" s="3" t="str">
        <x:v>Architectural Opportunity Identification</x:v>
      </x:c>
      <x:c r="E143" s="3" t="str">
        <x:v>No confirmed Direct mapping; excluded from observed-subtask counts. The high-level activity remains in the six-activity framework.</x:v>
      </x:c>
      <x:c r="F143" s="3" t="str">
        <x:v>P1–P25</x:v>
      </x:c>
    </x:row>
    <x:row r="144" ht="56" customHeight="1">
      <x:c r="A144" s="7" t="str">
        <x:v>Dynamic Behavior Preservation Validation</x:v>
      </x:c>
      <x:c r="B144" s="7" t="str">
        <x:v>Behavior Preservation</x:v>
      </x:c>
      <x:c r="C144" s="7" t="str">
        <x:v>EXCLUDE</x:v>
      </x:c>
      <x:c r="D144" s="7" t="str">
        <x:v>Dynamic Behavior Preservation Validation</x:v>
      </x:c>
      <x:c r="E144" s="7" t="str">
        <x:v>No confirmed Direct mapping; excluded from observed-subtask counts. The high-level activity remains in the six-activity framework.</x:v>
      </x:c>
      <x:c r="F144" s="7" t="str">
        <x:v>P1–P25</x:v>
      </x:c>
    </x:row>
    <x:row r="145" ht="57" customHeight="1">
      <x:c r="A145" s="3" t="str">
        <x:v>Consistency between class and activity diagrams</x:v>
      </x:c>
      <x:c r="B145" s="3" t="str">
        <x:v>Artifact Consistency Maintenance</x:v>
      </x:c>
      <x:c r="C145" s="3" t="str">
        <x:v>REASSIGN</x:v>
      </x:c>
      <x:c r="D145" s="3" t="str">
        <x:v>Cross-artifact Consistency Maintenance</x:v>
      </x:c>
      <x:c r="E145" s="3" t="str">
        <x:v>Added after targeted re-audit. P2 Section 5.7 directly reports primary study [P39], a multi-objective evolutionary approach that maintains consistency between class and activity diagrams.</x:v>
      </x:c>
      <x:c r="F145" s="3" t="str">
        <x:v>P2</x:v>
      </x:c>
    </x:row>
    <x:row r="146" ht="57" customHeight="1">
      <x:c r="A146" s="7" t="str">
        <x:v>P15/P16 IDs in old Markdown</x:v>
      </x:c>
      <x:c r="B146" s="7" t="str">
        <x:v>All</x:v>
      </x:c>
      <x:c r="C146" s="7" t="str">
        <x:v>REASSIGN</x:v>
      </x:c>
      <x:c r="D146" s="7" t="str">
        <x:v>Study identity</x:v>
      </x:c>
      <x:c r="E146" s="7" t="str">
        <x:v>P15 = Artificial Intelligence Methods in Software Refactoring: A Systematic Literature Review; P16 = Behind the Intent of Extract Method Refactoring: A Systematic Literature Review. IDs verified by title; old Markdown numbering is not used.</x:v>
      </x:c>
      <x:c r="F146" s="7" t="str">
        <x:v>P15, P16</x:v>
      </x:c>
    </x:row>
  </x:sheetData>
  <x:pageMargins left="0.7" right="0.7" top="0.75" bottom="0.75" header="0.3" footer="0.3"/>
  <x:tableParts count="1">
    <x:tablePart xmlns:r="http://schemas.openxmlformats.org/officeDocument/2006/relationships" r:id="R44ec023be31948a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4" hidden="0" customWidth="1"/>
    <x:col min="3" max="3" width="43" hidden="0" customWidth="1"/>
    <x:col min="4" max="4" width="18" hidden="0" customWidth="1"/>
    <x:col min="5" max="5" width="110" hidden="0" customWidth="1"/>
    <x:col min="6" max="6" width="60" hidden="0" customWidth="1"/>
  </x:cols>
  <x:sheetData>
    <x:row r="1" ht="44" customHeight="1">
      <x:c r="A1" s="6" t="str">
        <x:v>Study_ID</x:v>
      </x:c>
      <x:c r="B1" s="6" t="str">
        <x:v>Refactoring_Activity</x:v>
      </x:c>
      <x:c r="C1" s="6" t="str">
        <x:v>Refactoring_Subtask</x:v>
      </x:c>
      <x:c r="D1" s="6" t="str">
        <x:v>Support_Type</x:v>
      </x:c>
      <x:c r="E1" s="6" t="str">
        <x:v>Evidence</x:v>
      </x:c>
      <x:c r="F1" s="6" t="str">
        <x:v>Evidence_Location</x:v>
      </x:c>
    </x:row>
    <x:row r="2" ht="102" customHeight="1">
      <x:c r="A2" s="7" t="str">
        <x:v>P1</x:v>
      </x:c>
      <x:c r="B2" s="7" t="str">
        <x:v>Opportunity Identification</x:v>
      </x:c>
      <x:c r="C2" s="7" t="str">
        <x:v>General Refactoring Opportunity Identification</x:v>
      </x:c>
      <x:c r="D2" s="7" t="str">
        <x:v>Direct</x:v>
      </x:c>
      <x:c r="E2" s="7" t="str">
        <x:v>Study title: Identifying refactoring opportunities in object-oriented code: A systematic literature review
[E001] 原始任务: identify refactoring opportunities using clustering techniques
原始Evidence单元格（保留，不一律视为逐字引文）: Clustering techniques were applied ... to identify refactoring opportunities.</x:v>
      </x:c>
      <x:c r="F2" s="7" t="str">
        <x:v>[E001] PDF p.9, Section 4 results</x:v>
      </x:c>
    </x:row>
    <x:row r="3" ht="102" customHeight="1">
      <x:c r="A3" s="3" t="str">
        <x:v>P2</x:v>
      </x:c>
      <x:c r="B3" s="3" t="str">
        <x:v>Refactoring Selection</x:v>
      </x:c>
      <x:c r="C3" s="3" t="str">
        <x:v>Refactoring Sequence Optimization</x:v>
      </x:c>
      <x:c r="D3" s="3" t="str">
        <x:v>Direct</x:v>
      </x:c>
      <x:c r="E3" s="3" t="str">
        <x:v>Study title: A systematic review on search-based refactoring
[E002] 原始任务: generate a sequence of refactorings using search-based techniques
原始Evidence单元格（保留，不一律视为逐字引文）: The generated solution is usually a sequence of refactorings; evolutionary algorithms are the most used.</x:v>
      </x:c>
      <x:c r="F3" s="3" t="str">
        <x:v>[E002] PDF pp.1, 15–17, Abstract and Sections 4–5</x:v>
      </x:c>
    </x:row>
    <x:row r="4" ht="102" customHeight="1">
      <x:c r="A4" s="7" t="str">
        <x:v>P2</x:v>
      </x:c>
      <x:c r="B4" s="7" t="str">
        <x:v>Behavior Preservation</x:v>
      </x:c>
      <x:c r="C4" s="7" t="str">
        <x:v>Static Behavior Preservation Verification</x:v>
      </x:c>
      <x:c r="D4" s="7" t="str">
        <x:v>Direct</x:v>
      </x:c>
      <x:c r="E4" s="7" t="str">
        <x:v>Study title: A systematic review on search-based refactoring
[E005] 原始任务: preserve behavior while applying search-based refactorings
原始Evidence单元格（保留，不一律视为逐字引文）: Studies used direct or indirect behavior-preservation mechanisms with search-based refactoring.</x:v>
      </x:c>
      <x:c r="F4" s="7" t="str">
        <x:v>[E005] PDF pp.8–9, Section 4</x:v>
      </x:c>
    </x:row>
    <x:row r="5" ht="72" customHeight="1">
      <x:c r="A5" s="3" t="str">
        <x:v>P2</x:v>
      </x:c>
      <x:c r="B5" s="3" t="str">
        <x:v>Refactoring Application</x:v>
      </x:c>
      <x:c r="C5" s="3" t="str">
        <x:v>General Refactoring Application</x:v>
      </x:c>
      <x:c r="D5" s="3" t="str">
        <x:v>Direct</x:v>
      </x:c>
      <x:c r="E5" s="3" t="str">
        <x:v>Study title: A systematic review on search-based refactoring
[E003] 原始任务: automatically apply refactorings
原始Evidence单元格（保留，不一律视为逐字引文）: Only 40% automate applying refactorings; the remaining studies suggest them.</x:v>
      </x:c>
      <x:c r="F5" s="3" t="str">
        <x:v>[E003] PDF pp.9, 16, Results/Discussion</x:v>
      </x:c>
    </x:row>
    <x:row r="6" ht="72" customHeight="1">
      <x:c r="A6" s="7" t="str">
        <x:v>P2</x:v>
      </x:c>
      <x:c r="B6" s="7" t="str">
        <x:v>Quality Impact Assessment</x:v>
      </x:c>
      <x:c r="C6" s="7" t="str">
        <x:v>Software Quality Impact Assessment</x:v>
      </x:c>
      <x:c r="D6" s="7" t="str">
        <x:v>Direct</x:v>
      </x:c>
      <x:c r="E6" s="7" t="str">
        <x:v>Study title: A systematic review on search-based refactoring
[E004] 原始任务: evaluate improved artifact quality with metrics
原始Evidence单元格（保留，不一律视为逐字引文）: Quality metrics are used to guide and evaluate search-based refactoring solutions.</x:v>
      </x:c>
      <x:c r="F6" s="7" t="str">
        <x:v>[E004] PDF pp.9, 15–16, Results/Discussion</x:v>
      </x:c>
    </x:row>
    <x:row r="7" ht="177" customHeight="1">
      <x:c r="A7" s="3" t="str">
        <x:v>P2</x:v>
      </x:c>
      <x:c r="B7" s="3" t="str">
        <x:v>Artifact Consistency Maintenance</x:v>
      </x:c>
      <x:c r="C7" s="3" t="str">
        <x:v>Cross-artifact Consistency Maintenance</x:v>
      </x:c>
      <x:c r="D7" s="3" t="str">
        <x:v>Direct</x:v>
      </x:c>
      <x:c r="E7" s="3" t="str">
        <x:v>Study title: A systematic review on search-based refactoring
Targeted post-freeze correction: Direct.
P2 result quotation: The found approach proposed in [P39] suggests a sequence of refactorings to improve both class and activity diagrams in order to maintain the consistency between them. The employed algorithm evaluates the overall quality considering the impact of the refactorings applied to a class diagram on the corresponding activity diagram.
Primary-study identification: [P39] U. Mansoor, M. Kessentini, M. Wimmer, K. Deb, Multi-view refactoring of class and activity diagrams using a multi- objective evolutionary algorithm, Softw. Qual. J. (2015) 1–29.
The secondary study explicitly reports a multi-objective evolutionary algorithm that coordinates refactoring effects across class and activity diagrams.</x:v>
      </x:c>
      <x:c r="F7" s="3" t="str">
        <x:v>Verified local PDF p.10 (printed p.23), Section 5.7 RQ6 - consistency with other artifacts; PDF p.19 (printed p.32), primary study [P39].</x:v>
      </x:c>
    </x:row>
    <x:row r="8" ht="102" customHeight="1">
      <x:c r="A8" s="7" t="str">
        <x:v>P3</x:v>
      </x:c>
      <x:c r="B8" s="7" t="str">
        <x:v>Opportunity Identification</x:v>
      </x:c>
      <x:c r="C8" s="7" t="str">
        <x:v>Smell-based Opportunity Identification</x:v>
      </x:c>
      <x:c r="D8" s="7" t="str">
        <x:v>Direct</x:v>
      </x:c>
      <x:c r="E8" s="7" t="str">
        <x:v>Study title: A systematic literature review: Refactoring for disclosing code smells in object oriented software
[E007] 原始任务: identify code smells
原始Evidence单元格（保留，不一律视为逐字引文）: Machine learning and parallel evolutionary algorithms were reported for identifying code smells.</x:v>
      </x:c>
      <x:c r="F8" s="7" t="str">
        <x:v>[E007] PDF p.7, Results synthesis</x:v>
      </x:c>
    </x:row>
    <x:row r="9" ht="87" customHeight="1">
      <x:c r="A9" s="3" t="str">
        <x:v>P3</x:v>
      </x:c>
      <x:c r="B9" s="3" t="str">
        <x:v>Refactoring Selection</x:v>
      </x:c>
      <x:c r="C9" s="3" t="str">
        <x:v>Refactoring Sequence Optimization</x:v>
      </x:c>
      <x:c r="D9" s="3" t="str">
        <x:v>Direct</x:v>
      </x:c>
      <x:c r="E9" s="3" t="str">
        <x:v>Study title: A systematic literature review: Refactoring for disclosing code smells in object oriented software
[E008] 原始任务: select a sequence of refactoring techniques
原始Evidence单元格（保留，不一律视为逐字引文）: A Greedy Algorithm selects a sequence of refactoring techniques to improve maintainability.</x:v>
      </x:c>
      <x:c r="F9" s="3" t="str">
        <x:v>[E008] PDF p.7, Results synthesis</x:v>
      </x:c>
    </x:row>
    <x:row r="10" ht="87" customHeight="1">
      <x:c r="A10" s="7" t="str">
        <x:v>P3</x:v>
      </x:c>
      <x:c r="B10" s="7" t="str">
        <x:v>Refactoring Application</x:v>
      </x:c>
      <x:c r="C10" s="7" t="str">
        <x:v>Code-level Refactoring Transformation</x:v>
      </x:c>
      <x:c r="D10" s="7" t="str">
        <x:v>Direct</x:v>
      </x:c>
      <x:c r="E10" s="7" t="str">
        <x:v>Study title: A systematic literature review: Refactoring for disclosing code smells in object oriented software
[E006] 原始任务: remove bad smells from code
原始Evidence单元格（保留，不一律视为逐字引文）: A methodology used Genetic Algorithms ... to remove bad smell from source code.</x:v>
      </x:c>
      <x:c r="F10" s="7" t="str">
        <x:v>[E006] PDF p.6, Results synthesis</x:v>
      </x:c>
    </x:row>
    <x:row r="11" ht="102" customHeight="1">
      <x:c r="A11" s="3" t="str">
        <x:v>P4</x:v>
      </x:c>
      <x:c r="B11" s="3" t="str">
        <x:v>Opportunity Identification</x:v>
      </x:c>
      <x:c r="C11" s="3" t="str">
        <x:v>Smell-based Opportunity Identification</x:v>
      </x:c>
      <x:c r="D11" s="3" t="str">
        <x:v>Direct</x:v>
      </x:c>
      <x:c r="E11" s="3" t="str">
        <x:v>Study title: Machine Learning Techniques for Code Smells Detection: A Systematic Mapping Study
[E009] 原始任务: detect code smells using machine-learning techniques
原始Evidence单元格（保留，不一律视为逐字引文）: Results classify the ML techniques used for code-smell detection, the smells targeted by each technique, and detector precision/recall/F-measure.</x:v>
      </x:c>
      <x:c r="F11" s="3" t="str">
        <x:v>[E009] PDF pp.18–24, Sections 5.3–5.5 and performance figures/tables</x:v>
      </x:c>
    </x:row>
    <x:row r="12" ht="409" customHeight="1">
      <x:c r="A12" s="7" t="str">
        <x:v>P5</x:v>
      </x:c>
      <x:c r="B12" s="7" t="str">
        <x:v>Refactoring Selection</x:v>
      </x:c>
      <x:c r="C12" s="7" t="str">
        <x:v>Refactoring Sequence Optimization</x:v>
      </x:c>
      <x:c r="D12" s="7" t="str">
        <x:v>Direct</x:v>
      </x:c>
      <x:c r="E12" s="7" t="str">
        <x:v>Study title: Multi-Objective Optimization Techniques for Software Refactoring: A Systematic Literature Review
[E010] 原始任务: multi-objective software refactoring
原始Evidence单元格（保留，不一律视为逐字引文）: Genetic Algorithm (GA) is listed among algorithms used for multi-objective software refactoring.
[E011] 原始任务: multi-objective software refactoring
原始Evidence单元格（保留，不一律视为逐字引文）: Multi-Objective Particle Swarm Optimization (MOPSO) is listed among algorithms used for multi-objective software refactoring.
[E012] 原始任务: multi-objective software refactoring
原始Evidence单元格（保留，不一律视为逐字引文）: NSGA-II is listed among algorithms used for multi-objective software refactoring.
[E013] 原始任务: multi-objective software refactoring
原始Evidence单元格（保留，不一律视为逐字引文）: NSGA-III is listed among algorithms used for multi-objective software refactoring.
[E014] 原始任务: multi-objective software refactoring
原始Evidence单元格（保留，不一律视为逐字引文）: MOEA/D is listed among algorithms used for multi-objective software refactoring.
[E015] 原始任务: multi-objective software refactoring
原始Evidence单元格（保留，不一律视为逐字引文）: IBEA is listed among algorithms used for multi-objective software refactoring.</x:v>
      </x:c>
      <x:c r="F12" s="7" t="str">
        <x:v>[E010] PDF pp.4–6, Table VI and Discussion
[E011] PDF pp.4–6, Table VI and Discussion
[E012] PDF pp.4–6, Table VI and Discussion
[E013] PDF pp.4–6, Table VI and Discussion
[E014] PDF pp.4–6, Table VI and Discussion
[E015] PDF pp.4–6, Table VI and Discussion</x:v>
      </x:c>
    </x:row>
    <x:row r="13" ht="207" customHeight="1">
      <x:c r="A13" s="3" t="str">
        <x:v>P6</x:v>
      </x:c>
      <x:c r="B13" s="3" t="str">
        <x:v>Opportunity Identification</x:v>
      </x:c>
      <x:c r="C13" s="3" t="str">
        <x:v>Smell-based Opportunity Identification</x:v>
      </x:c>
      <x:c r="D13" s="3" t="str">
        <x:v>Direct</x:v>
      </x:c>
      <x:c r="E13" s="3" t="str">
        <x:v>Study title: Machine Learning Techniques for Code Smell Detection: A Systematic Literature Review and Meta-Analysis
Final manual adjudication: Direct. Manual adjudication: compositional evidence within the same secondary study.
ML detection results: In our SLR, we found that previous research focused on the 20 diﬀerent code smells listed in Table 5, along with the frequency of appearance in the primary studies.
Explicit linkage in the review’s related-work discussion: to each of the stages of the refactoring process: (i) detecting code smells, (ii) making decisions ...
Connection to its own included ML studies: In their works, some machine learning approaches identiﬁed as primary studies in our work (i.e., the [S01], [S03], [S13] presented later in the paper) were cited;
The linkage is contextual synthesis, not a claim that a refactoring was executed. E016 is accepted for A1; E017 prioritization is excluded.</x:v>
      </x:c>
      <x:c r="F13" s="3" t="str">
        <x:v>Verified local PDF pp.6–7 (printed 5–6), related-work discussion and own studies S01/S03/S13; p.18 (printed 17), Section 3.2 RQ1. No future-work evidence used.</x:v>
      </x:c>
    </x:row>
    <x:row r="14" ht="162" customHeight="1">
      <x:c r="A14" s="7" t="str">
        <x:v>P7</x:v>
      </x:c>
      <x:c r="B14" s="7" t="str">
        <x:v>Opportunity Identification</x:v>
      </x:c>
      <x:c r="C14" s="7" t="str">
        <x:v>General Refactoring Opportunity Identification</x:v>
      </x:c>
      <x:c r="D14" s="7" t="str">
        <x:v>Direct</x:v>
      </x:c>
      <x:c r="E14" s="7" t="str">
        <x:v>Study title: Automatic software refactoring: a systematic literature review
[E018] 原始任务: automated detection and correction of refactoring opportunities
原始Evidence单元格（保留，不一律视为逐字引文）: Search-based approaches use optimization algorithms for detection and correction; GA and NSGA-II dominate.
[E020] 原始任务: learn refactoring opportunities from examples
原始Evidence单元格（保留，不一律视为逐字引文）: Machine learning from examples is used to extract further refactoring opportunities.</x:v>
      </x:c>
      <x:c r="F14" s="7" t="str">
        <x:v>[E018] PDF pp.16–18, 23–25, Results
[E020] PDF p.25, Discussion</x:v>
      </x:c>
    </x:row>
    <x:row r="15" ht="102" customHeight="1">
      <x:c r="A15" s="3" t="str">
        <x:v>P7</x:v>
      </x:c>
      <x:c r="B15" s="3" t="str">
        <x:v>Refactoring Selection</x:v>
      </x:c>
      <x:c r="C15" s="3" t="str">
        <x:v>Refactoring Operation Selection</x:v>
      </x:c>
      <x:c r="D15" s="3" t="str">
        <x:v>Direct</x:v>
      </x:c>
      <x:c r="E15" s="3" t="str">
        <x:v>Study title: Automatic software refactoring: a systematic literature review
[E018] 原始任务: automated detection and correction of refactoring opportunities
原始Evidence单元格（保留，不一律视为逐字引文）: Search-based approaches use optimization algorithms for detection and correction; GA and NSGA-II dominate.</x:v>
      </x:c>
      <x:c r="F15" s="3" t="str">
        <x:v>[E018] PDF pp.16–18, 23–25, Results</x:v>
      </x:c>
    </x:row>
    <x:row r="16" ht="87" customHeight="1">
      <x:c r="A16" s="7" t="str">
        <x:v>P7</x:v>
      </x:c>
      <x:c r="B16" s="7" t="str">
        <x:v>Refactoring Selection</x:v>
      </x:c>
      <x:c r="C16" s="7" t="str">
        <x:v>Refactoring Candidate Prioritization</x:v>
      </x:c>
      <x:c r="D16" s="7" t="str">
        <x:v>Direct</x:v>
      </x:c>
      <x:c r="E16" s="7" t="str">
        <x:v>Study title: Automatic software refactoring: a systematic literature review
[E022] 原始任务: rank and prioritize refactoring opportunities
原始Evidence单元格（保留，不一律视为逐字引文）: The review reports ranking and prioritization mechanisms within automatic refactoring approaches.</x:v>
      </x:c>
      <x:c r="F16" s="7" t="str">
        <x:v>[E022] PDF pp.23–25, Results/Discussion</x:v>
      </x:c>
    </x:row>
    <x:row r="17" ht="102" customHeight="1">
      <x:c r="A17" s="3" t="str">
        <x:v>P7</x:v>
      </x:c>
      <x:c r="B17" s="3" t="str">
        <x:v>Refactoring Application</x:v>
      </x:c>
      <x:c r="C17" s="3" t="str">
        <x:v>General Refactoring Application</x:v>
      </x:c>
      <x:c r="D17" s="3" t="str">
        <x:v>Direct</x:v>
      </x:c>
      <x:c r="E17" s="3" t="str">
        <x:v>Study title: Automatic software refactoring: a systematic literature review
[E018] 原始任务: automated detection and correction of refactoring opportunities
原始Evidence单元格（保留，不一律视为逐字引文）: Search-based approaches use optimization algorithms for detection and correction; GA and NSGA-II dominate.</x:v>
      </x:c>
      <x:c r="F17" s="3" t="str">
        <x:v>[E018] PDF pp.16–18, 23–25, Results</x:v>
      </x:c>
    </x:row>
    <x:row r="18" ht="132" customHeight="1">
      <x:c r="A18" s="7" t="str">
        <x:v>P7</x:v>
      </x:c>
      <x:c r="B18" s="7" t="str">
        <x:v>Refactoring Application</x:v>
      </x:c>
      <x:c r="C18" s="7" t="str">
        <x:v>Architectural Restructuring</x:v>
      </x:c>
      <x:c r="D18" s="7" t="str">
        <x:v>Direct</x:v>
      </x:c>
      <x:c r="E18" s="7" t="str">
        <x:v>Study title: Automatic software refactoring: a systematic literature review
[E019] 原始任务: architecture/package restructuring
原始Evidence单元格（保留，不一律视为逐字引文）: Clustering, including k-means, is used to refactor architecture and packages.
回查PDF原文: Several papers use machine learning algorithms, such as clustering, to basically refactor software architecture by restructuring the packages.</x:v>
      </x:c>
      <x:c r="F18" s="7" t="str">
        <x:v>[E019] PDF pp.17, 25, Mechanisms/Discussion
回查: P7, PDF p.25</x:v>
      </x:c>
    </x:row>
    <x:row r="19" ht="252" customHeight="1">
      <x:c r="A19" s="3" t="str">
        <x:v>P8</x:v>
      </x:c>
      <x:c r="B19" s="3" t="str">
        <x:v>Opportunity Identification</x:v>
      </x:c>
      <x:c r="C19" s="3" t="str">
        <x:v>Smell-based Opportunity Identification</x:v>
      </x:c>
      <x:c r="D19" s="3" t="str">
        <x:v>Direct</x:v>
      </x:c>
      <x:c r="E19" s="3" t="str">
        <x:v>Study title: A Systematic Literature Survey of Software Metrics, Code Smells and Refactoring Techniques
[E023] 原始任务: use code smells as pointers for determining opportunities for refactoring
原始Evidence单元格（保留，不一律视为逐字引文）: Section 5.2 treats code smells as pointers/candidates for determining refactoring opportunities and lists the smells investigated.
Final manual adjudication: Direct.
Manual adjudication: compositional evidence within the same secondary study.
Linkage quotation: Code smell is a feature of the program code that acts as a pointer to determine the opportunity for refactoring and its application on the code.
Included studies [68]/[69], identified in Table 5 (PDF p.9); bibliographic descriptions: [68] F. Arcelli Fontana and M. Zanoni, “Code smell severity classification using machine learning techniques,” Knowledge-Based Systems, vol. 128, pp. 43-58, 2017. [69] F. Arcelli Fontana, M. V . Mantyla, M. Zanoni, and A. Marino, “Comparing and experimenting machine learning techniques for code smell detection,” Empirical Software Engineering, vol. 21, no. 3, pp. 1143-1191, 2015.</x:v>
      </x:c>
      <x:c r="F19" s="3" t="str">
        <x:v>[E023] PDF pp.8–9, Section 5.2/RQ1 and Table 5
Verified local PDF pp.8–9 (printed 922–923), Section 5.2 RQ1 and Table 5; p.20 (printed 934), refs.68–69.</x:v>
      </x:c>
    </x:row>
    <x:row r="20" ht="102" customHeight="1">
      <x:c r="A20" s="7" t="str">
        <x:v>P9</x:v>
      </x:c>
      <x:c r="B20" s="7" t="str">
        <x:v>Behavior Preservation</x:v>
      </x:c>
      <x:c r="C20" s="7" t="str">
        <x:v>Static Behavior Preservation Verification</x:v>
      </x:c>
      <x:c r="D20" s="7" t="str">
        <x:v>Direct</x:v>
      </x:c>
      <x:c r="E20" s="7" t="str">
        <x:v>Study title: On preserving the behavior in software refactoring: A systematic mapping study
[E027] 原始任务: detect behavioral inconsistencies and behavior-preservation violations during model refactoring
原始Evidence单元格（保留，不一律视为逐字引文）: Description-logics reasoning detects behavioral inconsistencies and behavior-preservation violations during model refactoring.</x:v>
      </x:c>
      <x:c r="F20" s="7" t="str">
        <x:v>[E027] PDF p.11, Results synthesis</x:v>
      </x:c>
    </x:row>
    <x:row r="21" ht="162" customHeight="1">
      <x:c r="A21" s="3" t="str">
        <x:v>P10</x:v>
      </x:c>
      <x:c r="B21" s="3" t="str">
        <x:v>Opportunity Identification</x:v>
      </x:c>
      <x:c r="C21" s="3" t="str">
        <x:v>Smell-based Opportunity Identification</x:v>
      </x:c>
      <x:c r="D21" s="3" t="str">
        <x:v>Direct</x:v>
      </x:c>
      <x:c r="E21" s="3" t="str">
        <x:v>Study title: Software smell detection techniques: A systematic literature review
[E028] 原始任务: detect code and design smells using seven families of techniques
原始Evidence单元格（保留，不一律视为逐字引文）: RQ2 classifies smell-detection approaches across seven technique families and RQ4 reports 137 detected code/design smells in 145 primary studies.
回查PDF原文: Correctly recognizing where to apply refactoring and identifying source code parts and design portions to be refactored constitute a fundamental refactoring activity.</x:v>
      </x:c>
      <x:c r="F21" s="3" t="str">
        <x:v>[E028] PDF pp.11–20 and 30, Sections 4.5–6
回查: P10, PDF p.2</x:v>
      </x:c>
    </x:row>
    <x:row r="22" ht="409" customHeight="1">
      <x:c r="A22" s="7" t="str">
        <x:v>P11</x:v>
      </x:c>
      <x:c r="B22" s="7" t="str">
        <x:v>Opportunity Identification</x:v>
      </x:c>
      <x:c r="C22" s="7" t="str">
        <x:v>Smell-based Opportunity Identification</x:v>
      </x:c>
      <x:c r="D22" s="7" t="str">
        <x:v>Direct</x:v>
      </x:c>
      <x:c r="E22" s="7" t="str">
        <x:v>Study title: Code Smells Detection and Visualization: A Systematic Literature Review
[E029] 原始任务: code smell detection and visualization to decide whether to proceed to refactoring
原始Evidence单元格（保留，不一律视为逐字引文）: Genetic Programming is listed in the review's ML technique table; visualization supports the refactoring decision.
[E030] 原始任务: code smell detection and visualization to decide whether to proceed to refactoring
原始Evidence单元格（保留，不一律视为逐字引文）: Decision Tree; Random Forest; Support Vector Machine; Regression is listed in the review's ML technique table; visualization supports the refactoring decision.
[E031] 原始任务: code smell detection and visualization to decide whether to proceed to refactoring
原始Evidence单元格（保留，不一律视为逐字引文）: Association Rules; Bayesian is listed in the review's ML technique table; visualization supports the refactoring decision.
[E032] 原始任务: code smell detection and visualization to decide whether to proceed to refactoring
原始Evidence单元格（保留，不一律视为逐字引文）: Neural Network is listed in the review's ML technique table; visualization supports the refactoring decision.
[E033] 原始任务: code smell detection and visualization to decide whether to proceed to refactoring
原始Evidence单元格（保留，不一律视为逐字引文）: Artificial Immune System is listed in the review's ML technique table; visualization supports the refactoring decision.</x:v>
      </x:c>
      <x:c r="F22" s="7" t="str">
        <x:v>[E029] PDF pp.4, 13–15, Section 3 and Table 10
[E030] PDF pp.4, 13–15, Section 3 and Table 10
[E031] PDF pp.4, 13–15, Section 3 and Table 10
[E032] PDF pp.4, 13–15, Section 3 and Table 10
[E033] PDF pp.4, 13–15, Section 3 and Table 10</x:v>
      </x:c>
    </x:row>
    <x:row r="23" ht="132" customHeight="1">
      <x:c r="A23" s="3" t="str">
        <x:v>P12</x:v>
      </x:c>
      <x:c r="B23" s="3" t="str">
        <x:v>Opportunity Identification</x:v>
      </x:c>
      <x:c r="C23" s="3" t="str">
        <x:v>Smell-based Opportunity Identification</x:v>
      </x:c>
      <x:c r="D23" s="3" t="str">
        <x:v>Direct</x:v>
      </x:c>
      <x:c r="E23" s="3" t="str">
        <x:v>Study title: Research Trends, Detection Methods, Practices, and Challenges in Code Smell: Systematic Literature Review
[E034] 原始任务: identify code components that require refactoring through design-smell/anti-pattern detection
原始Evidence单元格（保留，不一律视为逐字引文）: The Findings state that design-smell and anti-pattern detection identifies code components that require refactoring; the surrounding synthesis reports ML, DL and optimization detectors.</x:v>
      </x:c>
      <x:c r="F23" s="3" t="str">
        <x:v>[E034] PDF p.11, Findings; PDF p.10, Table 8</x:v>
      </x:c>
    </x:row>
    <x:row r="24" ht="117" customHeight="1">
      <x:c r="A24" s="7" t="str">
        <x:v>P13</x:v>
      </x:c>
      <x:c r="B24" s="7" t="str">
        <x:v>Refactoring Selection</x:v>
      </x:c>
      <x:c r="C24" s="7" t="str">
        <x:v>Refactoring Sequence Optimization</x:v>
      </x:c>
      <x:c r="D24" s="7" t="str">
        <x:v>Direct</x:v>
      </x:c>
      <x:c r="E24" s="7" t="str">
        <x:v>Study title: Composite refactoring: Representations, characteristics and effects on software projects
[E035] 原始任务: recommend composite refactorings and their order
原始Evidence单元格（保留，不一律视为逐字引文）: The results report that sequence representations are used when authors recommend composites and multidimensional representations support automatic generation of alternatives.</x:v>
      </x:c>
      <x:c r="F24" s="7" t="str">
        <x:v>[E035] PDF pp.2, 6–7, Results for RQ1/Summary 1</x:v>
      </x:c>
    </x:row>
    <x:row r="25" ht="102" customHeight="1">
      <x:c r="A25" s="3" t="str">
        <x:v>P13</x:v>
      </x:c>
      <x:c r="B25" s="3" t="str">
        <x:v>Refactoring Application</x:v>
      </x:c>
      <x:c r="C25" s="3" t="str">
        <x:v>Composite Refactoring Application</x:v>
      </x:c>
      <x:c r="D25" s="3" t="str">
        <x:v>Direct</x:v>
      </x:c>
      <x:c r="E25" s="3" t="str">
        <x:v>Study title: Composite refactoring: Representations, characteristics and effects on software projects
[E036] 原始任务: application characteristics describe how and when a composite was applied
原始Evidence单元格（保留，不一律视为逐字引文）: RQ2 classifies Application Characteristics as describing how a composite is applied and analyzes application windows from seconds to months.</x:v>
      </x:c>
      <x:c r="F25" s="3" t="str">
        <x:v>[E036] PDF pp.7–9, Results for RQ2/Summary 2</x:v>
      </x:c>
    </x:row>
    <x:row r="26" ht="267" customHeight="1">
      <x:c r="A26" s="7" t="str">
        <x:v>P14</x:v>
      </x:c>
      <x:c r="B26" s="7" t="str">
        <x:v>Opportunity Identification</x:v>
      </x:c>
      <x:c r="C26" s="7" t="str">
        <x:v>General Refactoring Opportunity Identification</x:v>
      </x:c>
      <x:c r="D26" s="7" t="str">
        <x:v>Direct</x:v>
      </x:c>
      <x:c r="E26" s="7" t="str">
        <x:v>Study title: Deep Learning-Based Code Refactoring: A Review of Current Knowledge
[E039] 原始任务: refactoring opportunity identification and type selection
原始Evidence单元格（保留，不一律视为逐字引文）: Table 4 maps Multilayer Perceptron; Logistic Regression; Naive Bayes; Support Vector Machine; Decision Tree; Random Forest to refactoring opportunity identification and type selection.
[E040] 原始任务: refactoring opportunity identification and type selection
原始Evidence单元格（保留，不一律视为逐字引文）: Table 4 maps Recurrent Neural Network; Multilayer Perceptron; BiLSTM to refactoring opportunity identification and type selection.
[E045] 原始任务: refactoring opportunity identification
原始Evidence单元格（保留，不一律视为逐字引文）: Table 4 maps Recurrent Neural Network; GRU to refactoring opportunity identification.</x:v>
      </x:c>
      <x:c r="F26" s="7" t="str">
        <x:v>[E039] PDF pp.5–6, Table 4; pp.12–14, Discussion
[E040] PDF pp.5–6, Table 4; pp.12–14, Discussion
[E045] PDF pp.5–6, Table 4; pp.12–14, Discussion</x:v>
      </x:c>
    </x:row>
    <x:row r="27" ht="87" customHeight="1">
      <x:c r="A27" s="3" t="str">
        <x:v>P14</x:v>
      </x:c>
      <x:c r="B27" s="3" t="str">
        <x:v>Opportunity Identification</x:v>
      </x:c>
      <x:c r="C27" s="3" t="str">
        <x:v>Operation-specific Opportunity Identification</x:v>
      </x:c>
      <x:c r="D27" s="3" t="str">
        <x:v>Direct</x:v>
      </x:c>
      <x:c r="E27" s="3" t="str">
        <x:v>Study title: Deep Learning-Based Code Refactoring: A Review of Current Knowledge
Final manual adjudication: Direct; inconsistent-name detection only, not new-name generation.
Table 5 ref.38 quotation: Inconsistent Method Names Detection
Table 4 ref.38 quotation: 38 ROI CNN Java N word2vec + AST + Paragraph Vector + CNN UL I&amp;E Varying size of adjacent vectors (I) + n-gram Model 53 + CAN 42 1</x:v>
      </x:c>
      <x:c r="F27" s="3" t="str">
        <x:v>P14 local PDF p.6, Table 4 ref.38; p.10, Table 5 ref.38 (printed 318, 322). Supersedes E042 as the evidence for this mapping.</x:v>
      </x:c>
    </x:row>
    <x:row r="28" ht="282" customHeight="1">
      <x:c r="A28" s="7" t="str">
        <x:v>P14</x:v>
      </x:c>
      <x:c r="B28" s="7" t="str">
        <x:v>Refactoring Selection</x:v>
      </x:c>
      <x:c r="C28" s="7" t="str">
        <x:v>Refactoring Operation Selection</x:v>
      </x:c>
      <x:c r="D28" s="7" t="str">
        <x:v>Direct</x:v>
      </x:c>
      <x:c r="E28" s="7" t="str">
        <x:v>Study title: Deep Learning-Based Code Refactoring: A Review of Current Knowledge
[E038] 原始任务: refactoring type selection
原始Evidence单元格（保留，不一律视为逐字引文）: Table 4 maps Multilayer Perceptron; Q-learning; Actor-Critic Matrix Adaptation; reward mechanism to refactoring type selection.
[E039] 原始任务: refactoring opportunity identification and type selection
原始Evidence单元格（保留，不一律视为逐字引文）: Table 4 maps Multilayer Perceptron; Logistic Regression; Naive Bayes; Support Vector Machine; Decision Tree; Random Forest to refactoring opportunity identification and type selection.
[E040] 原始任务: refactoring opportunity identification and type selection
原始Evidence单元格（保留，不一律视为逐字引文）: Table 4 maps Recurrent Neural Network; Multilayer Perceptron; BiLSTM to refactoring opportunity identification and type selection.</x:v>
      </x:c>
      <x:c r="F28" s="7" t="str">
        <x:v>[E038] PDF pp.5–6, Table 4; pp.12–14, Discussion
[E039] PDF pp.5–6, Table 4; pp.12–14, Discussion
[E040] PDF pp.5–6, Table 4; pp.12–14, Discussion</x:v>
      </x:c>
    </x:row>
    <x:row r="29" ht="72" customHeight="1">
      <x:c r="A29" s="3" t="str">
        <x:v>P14</x:v>
      </x:c>
      <x:c r="B29" s="3" t="str">
        <x:v>Refactoring Application</x:v>
      </x:c>
      <x:c r="C29" s="3" t="str">
        <x:v>Code-level Refactoring Transformation</x:v>
      </x:c>
      <x:c r="D29" s="3" t="str">
        <x:v>Direct</x:v>
      </x:c>
      <x:c r="E29" s="3" t="str">
        <x:v>Study title: Deep Learning-Based Code Refactoring: A Review of Current Knowledge
37 RTA RNN Java N Vector space + NMT + Gerrit crawler + RNN ED UL I Various datasets
Retained independent confirmed evidence: Table 4 ref.37 NMT transformations; E044 removed from this subtask.</x:v>
      </x:c>
      <x:c r="F29" s="3" t="str">
        <x:v>P14 PDF p.6, Table 4 ref.37; p.10, Table 5 ref.37: Method-Level Refactoring.</x:v>
      </x:c>
    </x:row>
    <x:row r="30" ht="252" customHeight="1">
      <x:c r="A30" s="7" t="str">
        <x:v>P14</x:v>
      </x:c>
      <x:c r="B30" s="7" t="str">
        <x:v>Refactoring Application</x:v>
      </x:c>
      <x:c r="C30" s="7" t="str">
        <x:v>Architectural Restructuring</x:v>
      </x:c>
      <x:c r="D30" s="7" t="str">
        <x:v>Direct</x:v>
      </x:c>
      <x:c r="E30" s="7" t="str">
        <x:v>Study title: Deep Learning-Based Code Refactoring: A Review of Current Knowledge
[E041] 原始任务: microservice decomposition
原始Evidence单元格（保留，不一律视为逐字引文）: Table 4 maps Graph Neural Network; CHGNN to microservice decomposition.
[E043] 原始任务: monolith decomposition
原始Evidence单元格（保留，不一律视为逐字引文）: Table 4 maps Graph Neural Network; CO-GCN; K-means++ to monolith decomposition.
[E044] 原始任务: code refactoring application
原始Evidence单元格（保留，不一律视为逐字引文）: Table 4 maps Artificial Neural Network; code2vec; AST representation to code refactoring application.
回查PDF原文: 33 Microservice Partitioning monolithic application into clusters of classes</x:v>
      </x:c>
      <x:c r="F30" s="7" t="str">
        <x:v>[E041] PDF pp.5–6, Table 4; pp.12–14, Discussion
[E043] PDF pp.5–6, Table 4; pp.12–14, Discussion
[E044] PDF pp.5–6, Table 4; pp.12–14, Discussion
回查: P14, PDF p.7</x:v>
      </x:c>
    </x:row>
    <x:row r="31" ht="72" customHeight="1">
      <x:c r="A31" s="3" t="str">
        <x:v>P15</x:v>
      </x:c>
      <x:c r="B31" s="3" t="str">
        <x:v>Opportunity Identification</x:v>
      </x:c>
      <x:c r="C31" s="3" t="str">
        <x:v>General Refactoring Opportunity Identification</x:v>
      </x:c>
      <x:c r="D31" s="3" t="str">
        <x:v>Direct</x:v>
      </x:c>
      <x:c r="E31" s="3" t="str">
        <x:v>Study title: Artificial Intelligence Methods in Software Refactoring: A Systematic Literature Review
[E046] 原始任务: detection stage
原始Evidence单元格（保留，不一律视为逐字引文）: CNN is the dominant AI method for the Detection stage (20.68%).</x:v>
      </x:c>
      <x:c r="F31" s="3" t="str">
        <x:v>[E046] PDF pp.3–5, Table III and Results</x:v>
      </x:c>
    </x:row>
    <x:row r="32" ht="87" customHeight="1">
      <x:c r="A32" s="7" t="str">
        <x:v>P15</x:v>
      </x:c>
      <x:c r="B32" s="7" t="str">
        <x:v>Opportunity Identification</x:v>
      </x:c>
      <x:c r="C32" s="7" t="str">
        <x:v>Refactoring Need Prediction</x:v>
      </x:c>
      <x:c r="D32" s="7" t="str">
        <x:v>Direct</x:v>
      </x:c>
      <x:c r="E32" s="7" t="str">
        <x:v>Study title: Artificial Intelligence Methods in Software Refactoring: A Systematic Literature Review
[E048] 原始任务: prediction stage
原始Evidence单元格（保留，不一律视为逐字引文）: Random Forest is dominant for Prediction (29.41%).
Final manual adjudication: Direct.</x:v>
      </x:c>
      <x:c r="F32" s="7" t="str">
        <x:v>[E048] PDF pp.3–5, Table III and Results</x:v>
      </x:c>
    </x:row>
    <x:row r="33" ht="72" customHeight="1">
      <x:c r="A33" s="3" t="str">
        <x:v>P15</x:v>
      </x:c>
      <x:c r="B33" s="3" t="str">
        <x:v>Refactoring Selection</x:v>
      </x:c>
      <x:c r="C33" s="3" t="str">
        <x:v>Refactoring Operation Selection</x:v>
      </x:c>
      <x:c r="D33" s="3" t="str">
        <x:v>Direct</x:v>
      </x:c>
      <x:c r="E33" s="3" t="str">
        <x:v>Study title: Artificial Intelligence Methods in Software Refactoring: A Systematic Literature Review
[E047] 原始任务: recommendation stage
原始Evidence单元格（保留，不一律视为逐字引文）: GA is the dominant AI method for Recommendation (15.68%).</x:v>
      </x:c>
      <x:c r="F33" s="3" t="str">
        <x:v>[E047] PDF pp.3–5, Table III and Results</x:v>
      </x:c>
    </x:row>
    <x:row r="34" ht="222" customHeight="1">
      <x:c r="A34" s="7" t="str">
        <x:v>P16</x:v>
      </x:c>
      <x:c r="B34" s="7" t="str">
        <x:v>Opportunity Identification</x:v>
      </x:c>
      <x:c r="C34" s="7" t="str">
        <x:v>Operation-specific Opportunity Identification</x:v>
      </x:c>
      <x:c r="D34" s="7" t="str">
        <x:v>Direct</x:v>
      </x:c>
      <x:c r="E34" s="7" t="str">
        <x:v>Study title: Behind the Intent of Extract Method Refactoring: A Systematic Literature Review
[E051] 原始任务: predict Extract Method refactoring
原始Evidence单元格（保留，不一律视为逐字引文）: Random Forest and Neural Network achieved about 84% for Extract Method prediction.
[E053] 原始任务: predict and recommend Extract Method refactoring
原始Evidence单元格（保留，不一律视为逐字引文）: A binary classifier predicts and a multi-label classifier recommends refactoring.
[E054] 原始任务: identify Extract Method candidates
原始Evidence单元格（保留，不一律视为逐字引文）: A self-supervised autoencoder with a pretrained LLM improved F1 for candidate identification.</x:v>
      </x:c>
      <x:c r="F34" s="7" t="str">
        <x:v>[E051] PDF p.12, ML-based approaches
[E053] PDF p.13, ML-based approaches
[E054] PDF p.13, ML-based approaches</x:v>
      </x:c>
    </x:row>
    <x:row r="35" ht="162" customHeight="1">
      <x:c r="A35" s="3" t="str">
        <x:v>P16</x:v>
      </x:c>
      <x:c r="B35" s="3" t="str">
        <x:v>Refactoring Selection</x:v>
      </x:c>
      <x:c r="C35" s="3" t="str">
        <x:v>Refactoring Operation Selection</x:v>
      </x:c>
      <x:c r="D35" s="3" t="str">
        <x:v>Direct</x:v>
      </x:c>
      <x:c r="E35" s="3" t="str">
        <x:v>Study title: Behind the Intent of Extract Method Refactoring: A Systematic Literature Review
[E053] 原始任务: predict and recommend Extract Method refactoring
原始Evidence单元格（保留，不一律视为逐字引文）: A binary classifier predicts and a multi-label classifier recommends refactoring.
[E055] 原始任务: recommend Extract Method in an industrial setting
原始Evidence单元格（保留，不一律视为逐字引文）: Machine-learning models were used to recommend Extract Method at ING.</x:v>
      </x:c>
      <x:c r="F35" s="3" t="str">
        <x:v>[E053] PDF p.13, ML-based approaches
[E055] PDF p.12, ML-based approaches</x:v>
      </x:c>
    </x:row>
    <x:row r="36" ht="297" customHeight="1">
      <x:c r="A36" s="7" t="str">
        <x:v>P17</x:v>
      </x:c>
      <x:c r="B36" s="7" t="str">
        <x:v>Refactoring Selection</x:v>
      </x:c>
      <x:c r="C36" s="7" t="str">
        <x:v>Refactoring Sequence Optimization</x:v>
      </x:c>
      <x:c r="D36" s="7" t="str">
        <x:v>Direct</x:v>
      </x:c>
      <x:c r="E36" s="7" t="str">
        <x:v>Study title: A systematic literature review on transformation for testability techniques in software systems
[E056] 原始任务: search-based refactoring sequence for testability
原始Evidence单元格（保留，不一律视为逐字引文）: MOCell is reported for multi-objective search-based refactoring to improve design quality and minimize testing effort.
[E057] 原始任务: search-based refactoring sequence for testability
原始Evidence单元格（保留，不一律视为逐字引文）: NSGA-II is reported for multi-objective search-based refactoring to improve design quality and minimize testing effort.
[E058] 原始任务: search-based refactoring sequence for testability
原始Evidence单元格（保留，不一律视为逐字引文）: SPEA2 is reported for multi-objective search-based refactoring to improve design quality and minimize testing effort.</x:v>
      </x:c>
      <x:c r="F36" s="7" t="str">
        <x:v>[E056] PDF pp.9, 14, 20–21, Results/Discussion
[E057] PDF pp.9, 14, 20–21, Results/Discussion
[E058] PDF pp.9, 14, 20–21, Results/Discussion</x:v>
      </x:c>
    </x:row>
    <x:row r="37" ht="297" customHeight="1">
      <x:c r="A37" s="3" t="str">
        <x:v>P17</x:v>
      </x:c>
      <x:c r="B37" s="3" t="str">
        <x:v>Refactoring Application</x:v>
      </x:c>
      <x:c r="C37" s="3" t="str">
        <x:v>Composite Refactoring Application</x:v>
      </x:c>
      <x:c r="D37" s="3" t="str">
        <x:v>Direct</x:v>
      </x:c>
      <x:c r="E37" s="3" t="str">
        <x:v>Study title: A systematic literature review on transformation for testability techniques in software systems
[E056] 原始任务: search-based refactoring sequence for testability
原始Evidence单元格（保留，不一律视为逐字引文）: MOCell is reported for multi-objective search-based refactoring to improve design quality and minimize testing effort.
[E057] 原始任务: search-based refactoring sequence for testability
原始Evidence单元格（保留，不一律视为逐字引文）: NSGA-II is reported for multi-objective search-based refactoring to improve design quality and minimize testing effort.
[E058] 原始任务: search-based refactoring sequence for testability
原始Evidence单元格（保留，不一律视为逐字引文）: SPEA2 is reported for multi-objective search-based refactoring to improve design quality and minimize testing effort.</x:v>
      </x:c>
      <x:c r="F37" s="3" t="str">
        <x:v>[E056] PDF pp.9, 14, 20–21, Results/Discussion
[E057] PDF pp.9, 14, 20–21, Results/Discussion
[E058] PDF pp.9, 14, 20–21, Results/Discussion</x:v>
      </x:c>
    </x:row>
    <x:row r="38" ht="297" customHeight="1">
      <x:c r="A38" s="7" t="str">
        <x:v>P17</x:v>
      </x:c>
      <x:c r="B38" s="7" t="str">
        <x:v>Quality Impact Assessment</x:v>
      </x:c>
      <x:c r="C38" s="7" t="str">
        <x:v>Software Quality Impact Assessment</x:v>
      </x:c>
      <x:c r="D38" s="7" t="str">
        <x:v>Direct</x:v>
      </x:c>
      <x:c r="E38" s="7" t="str">
        <x:v>Study title: A systematic literature review on transformation for testability techniques in software systems
[E056] 原始任务: search-based refactoring sequence for testability
原始Evidence单元格（保留，不一律视为逐字引文）: MOCell is reported for multi-objective search-based refactoring to improve design quality and minimize testing effort.
[E057] 原始任务: search-based refactoring sequence for testability
原始Evidence单元格（保留，不一律视为逐字引文）: NSGA-II is reported for multi-objective search-based refactoring to improve design quality and minimize testing effort.
[E058] 原始任务: search-based refactoring sequence for testability
原始Evidence单元格（保留，不一律视为逐字引文）: SPEA2 is reported for multi-objective search-based refactoring to improve design quality and minimize testing effort.</x:v>
      </x:c>
      <x:c r="F38" s="7" t="str">
        <x:v>[E056] PDF pp.9, 14, 20–21, Results/Discussion
[E057] PDF pp.9, 14, 20–21, Results/Discussion
[E058] PDF pp.9, 14, 20–21, Results/Discussion</x:v>
      </x:c>
    </x:row>
    <x:row r="39" ht="297" customHeight="1">
      <x:c r="A39" s="3" t="str">
        <x:v>P17</x:v>
      </x:c>
      <x:c r="B39" s="3" t="str">
        <x:v>Quality Impact Assessment</x:v>
      </x:c>
      <x:c r="C39" s="3" t="str">
        <x:v>Process Impact Assessment</x:v>
      </x:c>
      <x:c r="D39" s="3" t="str">
        <x:v>Direct</x:v>
      </x:c>
      <x:c r="E39" s="3" t="str">
        <x:v>Study title: A systematic literature review on transformation for testability techniques in software systems
[E056] 原始任务: search-based refactoring sequence for testability
原始Evidence单元格（保留，不一律视为逐字引文）: MOCell is reported for multi-objective search-based refactoring to improve design quality and minimize testing effort.
[E057] 原始任务: search-based refactoring sequence for testability
原始Evidence单元格（保留，不一律视为逐字引文）: NSGA-II is reported for multi-objective search-based refactoring to improve design quality and minimize testing effort.
[E058] 原始任务: search-based refactoring sequence for testability
原始Evidence单元格（保留，不一律视为逐字引文）: SPEA2 is reported for multi-objective search-based refactoring to improve design quality and minimize testing effort.</x:v>
      </x:c>
      <x:c r="F39" s="3" t="str">
        <x:v>[E056] PDF pp.9, 14, 20–21, Results/Discussion
[E057] PDF pp.9, 14, 20–21, Results/Discussion
[E058] PDF pp.9, 14, 20–21, Results/Discussion</x:v>
      </x:c>
    </x:row>
    <x:row r="40" ht="102" customHeight="1">
      <x:c r="A40" s="7" t="str">
        <x:v>P18</x:v>
      </x:c>
      <x:c r="B40" s="7" t="str">
        <x:v>Opportunity Identification</x:v>
      </x:c>
      <x:c r="C40" s="7" t="str">
        <x:v>Smell-based Opportunity Identification</x:v>
      </x:c>
      <x:c r="D40" s="7" t="str">
        <x:v>Direct</x:v>
      </x:c>
      <x:c r="E40" s="7" t="str">
        <x:v>Study title: How Well Small Language Models Can Be Adapted for Software Maintenance and Refactoring Tasks
[E060] 原始任务: detect feature envy and recommend methods to appropriate classes
原始Evidence单元格（保留，不一律视为逐字引文）: The model is fine-tuned to detect Feature Envy and recommend methods to appropriate classes.</x:v>
      </x:c>
      <x:c r="F40" s="7" t="str">
        <x:v>[E060] PDF p.5, Section 3.3</x:v>
      </x:c>
    </x:row>
    <x:row r="41" ht="102" customHeight="1">
      <x:c r="A41" s="3" t="str">
        <x:v>P18</x:v>
      </x:c>
      <x:c r="B41" s="3" t="str">
        <x:v>Refactoring Selection</x:v>
      </x:c>
      <x:c r="C41" s="3" t="str">
        <x:v>Refactoring Operation Selection</x:v>
      </x:c>
      <x:c r="D41" s="3" t="str">
        <x:v>Direct</x:v>
      </x:c>
      <x:c r="E41" s="3" t="str">
        <x:v>Study title: How Well Small Language Models Can Be Adapted for Software Maintenance and Refactoring Tasks
[E060] 原始任务: detect feature envy and recommend methods to appropriate classes
原始Evidence单元格（保留，不一律视为逐字引文）: The model is fine-tuned to detect Feature Envy and recommend methods to appropriate classes.</x:v>
      </x:c>
      <x:c r="F41" s="3" t="str">
        <x:v>[E060] PDF p.5, Section 3.3</x:v>
      </x:c>
    </x:row>
    <x:row r="42" ht="177" customHeight="1">
      <x:c r="A42" s="7" t="str">
        <x:v>P18</x:v>
      </x:c>
      <x:c r="B42" s="7" t="str">
        <x:v>Refactoring Application</x:v>
      </x:c>
      <x:c r="C42" s="7" t="str">
        <x:v>Code-level Refactoring Transformation</x:v>
      </x:c>
      <x:c r="D42" s="7" t="str">
        <x:v>Direct</x:v>
      </x:c>
      <x:c r="E42" s="7" t="str">
        <x:v>Study title: How Well Small Language Models Can Be Adapted for Software Maintenance and Refactoring Tasks
[E059] 原始任务: code refactoring suggestions and synthesized transforms
原始Evidence单元格（保留，不一律视为逐字引文）: SLMs can match or outperform LLMs in refactoring tasks; synthesized transforms can perform equally well.
Final manual adjudication: Direct.
Verified local PDF quotation: According to CF20, the larger models are more com- putationally expensive, but the transforms synthesized by all models perform equally well, suggesting a compute/inference budget tradeoﬀ.</x:v>
      </x:c>
      <x:c r="F42" s="7" t="str">
        <x:v>[E059] PDF pp.6–8, Sections 3.4–3.6
Exact quotation: PDF p.6 (printed 511), Section 3.4, Code Refactoring / CF20.</x:v>
      </x:c>
    </x:row>
    <x:row r="43" ht="409" customHeight="1">
      <x:c r="A43" s="3" t="str">
        <x:v>P19</x:v>
      </x:c>
      <x:c r="B43" s="3" t="str">
        <x:v>Opportunity Identification</x:v>
      </x:c>
      <x:c r="C43" s="3" t="str">
        <x:v>Clone-based Opportunity Identification</x:v>
      </x:c>
      <x:c r="D43" s="3" t="str">
        <x:v>Direct</x:v>
      </x:c>
      <x:c r="E43" s="3" t="str">
        <x:v>Study title: Insight into code clone management through refactoring: a systematic literature review
[E062] 原始任务: recommend clones for refactoring
原始Evidence单元格（保留，不一律视为逐字引文）: AdaBoost is evaluated for recommending clones for refactoring.
[E063] 原始任务: recommend clones for refactoring
原始Evidence单元格（保留，不一律视为逐字引文）: Random Forest is evaluated for recommending clones for refactoring.
[E064] 原始任务: recommend clones for refactoring
原始Evidence单元格（保留，不一律视为逐字引文）: C4.5 is evaluated for recommending clones for refactoring.
[E065] 原始任务: recommend clones for refactoring
原始Evidence单元格（保留，不一律视为逐字引文）: SMO is evaluated for recommending clones for refactoring.
[E066] 原始任务: recommend clones for refactoring
原始Evidence单元格（保留，不一律视为逐字引文）: Naive Bayes; Bayesian Network is evaluated for recommending clones for refactoring.
[E067] 原始任务: recommend clones for refactoring
原始Evidence单元格（保留，不一律视为逐字引文）: Bagging; K-Nearest Neighbours; ForestPA is evaluated for recommending clones for refactoring.
[E068] 原始任务: recommend Extract Method refactoring in real time
原始Evidence单元格（保留，不一律视为逐字引文）: A CNN recommends Extract Method refactoring for clones as they are introduced.</x:v>
      </x:c>
      <x:c r="F43" s="3" t="str">
        <x:v>[E062] PDF pp.19–20, RQ7 results; p.22, Table 16
[E063] PDF pp.19–20, RQ7 results; p.22, Table 16
[E064] PDF pp.19–20, RQ7 results; p.22, Table 16
[E065] PDF pp.19–20, RQ7 results; p.22, Table 16
[E066] PDF pp.19–20, RQ7 results; p.22, Table 16
[E067] PDF pp.19–20, RQ7 results; p.22, Table 16
[E068] PDF pp.20, 23–24, RQ7 and Discussion</x:v>
      </x:c>
    </x:row>
    <x:row r="44" ht="87" customHeight="1">
      <x:c r="A44" s="7" t="str">
        <x:v>P19</x:v>
      </x:c>
      <x:c r="B44" s="7" t="str">
        <x:v>Refactoring Selection</x:v>
      </x:c>
      <x:c r="C44" s="7" t="str">
        <x:v>Refactoring Operation Selection</x:v>
      </x:c>
      <x:c r="D44" s="7" t="str">
        <x:v>Direct</x:v>
      </x:c>
      <x:c r="E44" s="7" t="str">
        <x:v>Study title: Insight into code clone management through refactoring: a systematic literature review
[E068] 原始任务: recommend Extract Method refactoring in real time
原始Evidence单元格（保留，不一律视为逐字引文）: A CNN recommends Extract Method refactoring for clones as they are introduced.</x:v>
      </x:c>
      <x:c r="F44" s="7" t="str">
        <x:v>[E068] PDF pp.20, 23–24, RQ7 and Discussion</x:v>
      </x:c>
    </x:row>
    <x:row r="45" ht="409" customHeight="1">
      <x:c r="A45" s="3" t="str">
        <x:v>P19</x:v>
      </x:c>
      <x:c r="B45" s="3" t="str">
        <x:v>Refactoring Selection</x:v>
      </x:c>
      <x:c r="C45" s="3" t="str">
        <x:v>Refactoring Candidate Prioritization</x:v>
      </x:c>
      <x:c r="D45" s="3" t="str">
        <x:v>Direct</x:v>
      </x:c>
      <x:c r="E45" s="3" t="str">
        <x:v>Study title: Insight into code clone management through refactoring: a systematic literature review
[E062] 原始任务: recommend clones for refactoring
原始Evidence单元格（保留，不一律视为逐字引文）: AdaBoost is evaluated for recommending clones for refactoring.
[E063] 原始任务: recommend clones for refactoring
原始Evidence单元格（保留，不一律视为逐字引文）: Random Forest is evaluated for recommending clones for refactoring.
[E064] 原始任务: recommend clones for refactoring
原始Evidence单元格（保留，不一律视为逐字引文）: C4.5 is evaluated for recommending clones for refactoring.
[E065] 原始任务: recommend clones for refactoring
原始Evidence单元格（保留，不一律视为逐字引文）: SMO is evaluated for recommending clones for refactoring.
[E066] 原始任务: recommend clones for refactoring
原始Evidence单元格（保留，不一律视为逐字引文）: Naive Bayes; Bayesian Network is evaluated for recommending clones for refactoring.
[E067] 原始任务: recommend clones for refactoring
原始Evidence单元格（保留，不一律视为逐字引文）: Bagging; K-Nearest Neighbours; ForestPA is evaluated for recommending clones for refactoring.
[E069] 原始任务: prepare a schedule for clone refactoring
原始Evidence单元格（保留，不一律视为逐字引文）: Genetic Algorithms prepare clone-refactoring schedules and prioritize clones.
[E070] 原始任务: determine clone life expectancy
原始Evidence单元格（保留，不一律视为逐字引文）: A Random Forest classifier estimates clone life expectancy to avoid refactoring short-lived clones.</x:v>
      </x:c>
      <x:c r="F45" s="3" t="str">
        <x:v>[E062] PDF pp.19–20, RQ7 results; p.22, Table 16
[E063] PDF pp.19–20, RQ7 results; p.22, Table 16
[E064] PDF pp.19–20, RQ7 results; p.22, Table 16
[E065] PDF pp.19–20, RQ7 results; p.22, Table 16
[E066] PDF pp.19–20, RQ7 results; p.22, Table 16
[E067] PDF pp.19–20, RQ7 results; p.22, Table 16
[E069] PDF p.20, RQ7 results
[E070] PDF pp.19–20, RQ7 results</x:v>
      </x:c>
    </x:row>
    <x:row r="46" ht="162" customHeight="1">
      <x:c r="A46" s="7" t="str">
        <x:v>P20</x:v>
      </x:c>
      <x:c r="B46" s="7" t="str">
        <x:v>Opportunity Identification</x:v>
      </x:c>
      <x:c r="C46" s="7" t="str">
        <x:v>Smell-based Opportunity Identification</x:v>
      </x:c>
      <x:c r="D46" s="7" t="str">
        <x:v>Direct</x:v>
      </x:c>
      <x:c r="E46" s="7" t="str">
        <x:v>Study title: Systematic literature review on software code smell detection approaches
Final manual adjudication: Direct. Manual adjudication: compositional evidence within the same secondary study.
ML detection quotation: some researchers have leveraged ML techniques to detect software code smells by learning the patterns associated with them (Kaur et al., 2017; Rao et al., 2023; Alazba and Aljamaan, 2021).
Explicit smell/refactoring linkage: sue can be addressed by refactoring the OrderProc class and replacing it with smaller, more focused classes: OrderMgr (manages adding and removing orders), PayProc (Manage order payments), EmailSrv (s
This mapping concerns detected smell candidates, not execution of the illustrated refactoring.</x:v>
      </x:c>
      <x:c r="F46" s="7" t="str">
        <x:v>Verified local PDF p.2, Introduction (ML detection); p.6, Section 2.1, God Class/Blob example and Fig.8 (refactoring linkage).</x:v>
      </x:c>
    </x:row>
    <x:row r="47" ht="87" customHeight="1">
      <x:c r="A47" s="3" t="str">
        <x:v>P20</x:v>
      </x:c>
      <x:c r="B47" s="3" t="str">
        <x:v>Refactoring Selection</x:v>
      </x:c>
      <x:c r="C47" s="3" t="str">
        <x:v>Refactoring Operation Selection</x:v>
      </x:c>
      <x:c r="D47" s="3" t="str">
        <x:v>Direct</x:v>
      </x:c>
      <x:c r="E47" s="3" t="str">
        <x:v>Study title: Systematic literature review on software code smell detection approaches
[E071] 原始任务: suggest an automatic Move Method refactoring
原始Evidence单元格（保留，不一律视为逐字引文）: code2vec identifies the correct class for a method and suggests an automatic Move Method refactoring.</x:v>
      </x:c>
      <x:c r="F47" s="3" t="str">
        <x:v>[E071] PDF p.15, chronological synthesis</x:v>
      </x:c>
    </x:row>
    <x:row r="48" ht="87" customHeight="1">
      <x:c r="A48" s="7" t="str">
        <x:v>P20</x:v>
      </x:c>
      <x:c r="B48" s="7" t="str">
        <x:v>Refactoring Selection</x:v>
      </x:c>
      <x:c r="C48" s="7" t="str">
        <x:v>Refactoring Candidate Prioritization</x:v>
      </x:c>
      <x:c r="D48" s="7" t="str">
        <x:v>Direct</x:v>
      </x:c>
      <x:c r="E48" s="7" t="str">
        <x:v>Study title: Systematic literature review on software code smell detection approaches
[E072] 原始任务: assess smell severity to prioritize refactoring efforts
原始Evidence单元格（保留，不一律视为逐字引文）: Severity assessment is described as crucial for prioritizing refactoring efforts.</x:v>
      </x:c>
      <x:c r="F48" s="7" t="str">
        <x:v>[E072] PDF p.18, chronological synthesis</x:v>
      </x:c>
    </x:row>
    <x:row r="49" ht="72" customHeight="1">
      <x:c r="A49" s="3" t="str">
        <x:v>P21</x:v>
      </x:c>
      <x:c r="B49" s="3" t="str">
        <x:v>Opportunity Identification</x:v>
      </x:c>
      <x:c r="C49" s="3" t="str">
        <x:v>General Refactoring Opportunity Identification</x:v>
      </x:c>
      <x:c r="D49" s="3" t="str">
        <x:v>Direct</x:v>
      </x:c>
      <x:c r="E49" s="3" t="str">
        <x:v>Study title: Using LLMs to enhance code quality: A systematic literature review
[E075] 原始任务: refactoring candidate identification
原始Evidence单元格（保留，不一律视为逐字引文）: Table 7 lists fine-tuning for refactoring-candidate identification.</x:v>
      </x:c>
      <x:c r="F49" s="3" t="str">
        <x:v>[E075] PDF p.10, Table 7</x:v>
      </x:c>
    </x:row>
    <x:row r="50" ht="72" customHeight="1">
      <x:c r="A50" s="7" t="str">
        <x:v>P21</x:v>
      </x:c>
      <x:c r="B50" s="7" t="str">
        <x:v>Opportunity Identification</x:v>
      </x:c>
      <x:c r="C50" s="7" t="str">
        <x:v>Smell-based Opportunity Identification</x:v>
      </x:c>
      <x:c r="D50" s="7" t="str">
        <x:v>Direct</x:v>
      </x:c>
      <x:c r="E50" s="7" t="str">
        <x:v>Study title: Using LLMs to enhance code quality: A systematic literature review
[E077] 原始任务: detect code smells and subsequently refactor
原始Evidence单元格（保留，不一律视为逐字引文）: Studies evaluated prompting for code-smell detection and subsequent refactoring.</x:v>
      </x:c>
      <x:c r="F50" s="7" t="str">
        <x:v>[E077] PDF p.8, Section 6.2.1</x:v>
      </x:c>
    </x:row>
    <x:row r="51" ht="297" customHeight="1">
      <x:c r="A51" s="3" t="str">
        <x:v>P21</x:v>
      </x:c>
      <x:c r="B51" s="3" t="str">
        <x:v>Refactoring Application</x:v>
      </x:c>
      <x:c r="C51" s="3" t="str">
        <x:v>Code-level Refactoring Transformation</x:v>
      </x:c>
      <x:c r="D51" s="3" t="str">
        <x:v>Direct</x:v>
      </x:c>
      <x:c r="E51" s="3" t="str">
        <x:v>Study title: Using LLMs to enhance code quality: A systematic literature review
[E073] 原始任务: transform code snippets across programming languages
原始Evidence单元格（保留，不一律视为逐字引文）: Code refactoring is the most explored task; LLMs transform code snippets across languages.
[E074] 原始任务: automate rename refactoring
原始Evidence单元格（保留，不一律视为逐字引文）: A fine-tuned BERT model, RefBERT, automates rename refactoring.
[E076] 原始任务: Extract Method and other within-class refactorings
原始Evidence单元格（保留，不一律视为逐字引文）: Tables 7 and 9 link few-shot/in-context learning to Extract Method and other within-class refactorings.
[E077] 原始任务: detect code smells and subsequently refactor
原始Evidence单元格（保留，不一律视为逐字引文）: Studies evaluated prompting for code-smell detection and subsequent refactoring.</x:v>
      </x:c>
      <x:c r="F51" s="3" t="str">
        <x:v>[E073] PDF pp.8–10, Section 6.2 and Tables 6–7
[E074] PDF pp.8–10, Section 6.2 and Tables 7/9
[E076] PDF pp.9–10, Tables 7 and 9
[E077] PDF p.8, Section 6.2.1</x:v>
      </x:c>
    </x:row>
    <x:row r="52" ht="87" customHeight="1">
      <x:c r="A52" s="7" t="str">
        <x:v>P22</x:v>
      </x:c>
      <x:c r="B52" s="7" t="str">
        <x:v>Opportunity Identification</x:v>
      </x:c>
      <x:c r="C52" s="7" t="str">
        <x:v>Operation-specific Opportunity Identification</x:v>
      </x:c>
      <x:c r="D52" s="7" t="str">
        <x:v>Direct</x:v>
      </x:c>
      <x:c r="E52" s="7" t="str">
        <x:v>Study title: Software refactoring research with large language models: A systematic literature review
[E079] 原始任务: refine generated Extract Method suggestions
原始Evidence单元格（保留，不一律视为逐字引文）: EM-Assist integrates LLMs with ranking and validation to refine generated refactoring suggestions.</x:v>
      </x:c>
      <x:c r="F52" s="7" t="str">
        <x:v>[E079] PDF p.6, Results; Tables 2 and 9</x:v>
      </x:c>
    </x:row>
    <x:row r="53" ht="87" customHeight="1">
      <x:c r="A53" s="3" t="str">
        <x:v>P22</x:v>
      </x:c>
      <x:c r="B53" s="3" t="str">
        <x:v>Refactoring Selection</x:v>
      </x:c>
      <x:c r="C53" s="3" t="str">
        <x:v>Refactoring Operation Selection</x:v>
      </x:c>
      <x:c r="D53" s="3" t="str">
        <x:v>Direct</x:v>
      </x:c>
      <x:c r="E53" s="3" t="str">
        <x:v>Study title: Software refactoring research with large language models: A systematic literature review
[E079] 原始任务: refine generated Extract Method suggestions
原始Evidence单元格（保留，不一律视为逐字引文）: EM-Assist integrates LLMs with ranking and validation to refine generated refactoring suggestions.</x:v>
      </x:c>
      <x:c r="F53" s="3" t="str">
        <x:v>[E079] PDF p.6, Results; Tables 2 and 9</x:v>
      </x:c>
    </x:row>
    <x:row r="54" ht="237" customHeight="1">
      <x:c r="A54" s="7" t="str">
        <x:v>P22</x:v>
      </x:c>
      <x:c r="B54" s="7" t="str">
        <x:v>Refactoring Application</x:v>
      </x:c>
      <x:c r="C54" s="7" t="str">
        <x:v>Code-level Refactoring Transformation</x:v>
      </x:c>
      <x:c r="D54" s="7" t="str">
        <x:v>Direct</x:v>
      </x:c>
      <x:c r="E54" s="7" t="str">
        <x:v>Study title: Software refactoring research with large language models: A systematic literature review
[E078] 原始任务: generate code refactorings
原始Evidence单元格（保留，不一律视为逐字引文）: The review isolates generative LLMs that produce diverse code transformations for refactoring.
[E079] 原始任务: refine generated Extract Method suggestions
原始Evidence单元格（保留，不一律视为逐字引文）: EM-Assist integrates LLMs with ranking and validation to refine generated refactoring suggestions.
[E081] 原始任务: Move Method refactoring with semantic analysis and retrieval
原始Evidence单元格（保留，不一律视为逐字引文）: Semantic analysis and RAG are applied before LLM-based Move Method refactoring.</x:v>
      </x:c>
      <x:c r="F54" s="7" t="str">
        <x:v>[E078] PDF pp.1–4, Scope; pp.7–29, Results
[E079] PDF p.6, Results; Tables 2 and 9
[E081] PDF p.27, Table 8 discussion</x:v>
      </x:c>
    </x:row>
    <x:row r="55" ht="87" customHeight="1">
      <x:c r="A55" s="3" t="str">
        <x:v>P22</x:v>
      </x:c>
      <x:c r="B55" s="3" t="str">
        <x:v>Refactoring Application</x:v>
      </x:c>
      <x:c r="C55" s="3" t="str">
        <x:v>Composite Refactoring Application</x:v>
      </x:c>
      <x:c r="D55" s="3" t="str">
        <x:v>Direct</x:v>
      </x:c>
      <x:c r="E55" s="3" t="str">
        <x:v>Study title: Software refactoring research with large language models: A systematic literature review
[E082] 原始任务: iterative refactoring to reduce cyclomatic complexity
原始Evidence单元格（保留，不一律视为逐字引文）: Iterative LLM refactoring decreased overall cyclomatic complexity.</x:v>
      </x:c>
      <x:c r="F55" s="3" t="str">
        <x:v>[E082] PDF p.27, RQ4 results</x:v>
      </x:c>
    </x:row>
    <x:row r="56" ht="87" customHeight="1">
      <x:c r="A56" s="7" t="str">
        <x:v>P22</x:v>
      </x:c>
      <x:c r="B56" s="7" t="str">
        <x:v>Quality Impact Assessment</x:v>
      </x:c>
      <x:c r="C56" s="7" t="str">
        <x:v>Software Quality Impact Assessment</x:v>
      </x:c>
      <x:c r="D56" s="7" t="str">
        <x:v>Direct</x:v>
      </x:c>
      <x:c r="E56" s="7" t="str">
        <x:v>Study title: Software refactoring research with large language models: A systematic literature review
[E082] 原始任务: iterative refactoring to reduce cyclomatic complexity
原始Evidence单元格（保留，不一律视为逐字引文）: Iterative LLM refactoring decreased overall cyclomatic complexity.</x:v>
      </x:c>
      <x:c r="F56" s="7" t="str">
        <x:v>[E082] PDF p.27, RQ4 results</x:v>
      </x:c>
    </x:row>
    <x:row r="57" ht="147" customHeight="1">
      <x:c r="A57" s="3" t="str">
        <x:v>P23</x:v>
      </x:c>
      <x:c r="B57" s="3" t="str">
        <x:v>Opportunity Identification</x:v>
      </x:c>
      <x:c r="C57" s="3" t="str">
        <x:v>Smell-based Opportunity Identification</x:v>
      </x:c>
      <x:c r="D57" s="3" t="str">
        <x:v>Direct</x:v>
      </x:c>
      <x:c r="E57" s="3" t="str">
        <x:v>Study title: A survey on code smells detection using machine learning techniques
[E083] 原始任务: ML-based code-smell detection and unified benchmark
原始Evidence单元格（保留，不一律视为逐字引文）: The review summarizes 31 ML-based smell-detection studies and benchmarks classical ML, sequence DL and GNN models on four smell labels.
回查PDF原文: smells as ‘‘symptoms’’ in code that often indicate the need for refactoring.</x:v>
      </x:c>
      <x:c r="F57" s="3" t="str">
        <x:v>[E083] PDF pp.13–18, Sections 7–8
回查: P23, PDF p.5</x:v>
      </x:c>
    </x:row>
    <x:row r="58" ht="102" customHeight="1">
      <x:c r="A58" s="7" t="str">
        <x:v>P24</x:v>
      </x:c>
      <x:c r="B58" s="7" t="str">
        <x:v>Opportunity Identification</x:v>
      </x:c>
      <x:c r="C58" s="7" t="str">
        <x:v>Clone-based Opportunity Identification</x:v>
      </x:c>
      <x:c r="D58" s="7" t="str">
        <x:v>Direct</x:v>
      </x:c>
      <x:c r="E58" s="7" t="str">
        <x:v>Study title: A systematic mapping study on the research landscape of LLM-based code clone detection
[E084] 原始任务: identify and refactor Type-1/2/3 code clones using Extract Method
原始Evidence单元格（保留，不一律视为逐字引文）: One study evaluates GPT/Claude/Gemini/Llama models for identifying and refactoring clones with Extract Method.</x:v>
      </x:c>
      <x:c r="F58" s="7" t="str">
        <x:v>[E084] PDF pp.8, 11–12, Tables 3 and 7</x:v>
      </x:c>
    </x:row>
    <x:row r="59" ht="102" customHeight="1">
      <x:c r="A59" s="3" t="str">
        <x:v>P24</x:v>
      </x:c>
      <x:c r="B59" s="3" t="str">
        <x:v>Refactoring Application</x:v>
      </x:c>
      <x:c r="C59" s="3" t="str">
        <x:v>Code-level Refactoring Transformation</x:v>
      </x:c>
      <x:c r="D59" s="3" t="str">
        <x:v>Direct</x:v>
      </x:c>
      <x:c r="E59" s="3" t="str">
        <x:v>Study title: A systematic mapping study on the research landscape of LLM-based code clone detection
[E084] 原始任务: identify and refactor Type-1/2/3 code clones using Extract Method
原始Evidence单元格（保留，不一律视为逐字引文）: One study evaluates GPT/Claude/Gemini/Llama models for identifying and refactoring clones with Extract Method.</x:v>
      </x:c>
      <x:c r="F59" s="3" t="str">
        <x:v>[E084] PDF pp.8, 11–12, Tables 3 and 7</x:v>
      </x:c>
    </x:row>
    <x:row r="60" ht="102" customHeight="1">
      <x:c r="A60" s="7" t="str">
        <x:v>P25</x:v>
      </x:c>
      <x:c r="B60" s="7" t="str">
        <x:v>Opportunity Identification</x:v>
      </x:c>
      <x:c r="C60" s="7" t="str">
        <x:v>Smell-based Opportunity Identification</x:v>
      </x:c>
      <x:c r="D60" s="7" t="str">
        <x:v>Direct</x:v>
      </x:c>
      <x:c r="E60" s="7" t="str">
        <x:v>Study title: A Systematic Review on Code Smell Detection Approaches in Open Source Projects
[E086] 原始任务: code smell detection to assess refactoring possibilities
原始Evidence单元格（保留，不一律视为逐字引文）: Code smells point to potential refactoring opportunities; identifying them lets engineers assess refactoring possibilities.</x:v>
      </x:c>
      <x:c r="F60" s="7" t="str">
        <x:v>[E086] PDF pp.1–3, Abstract/Introduction; pp.17, 30, technique tables</x:v>
      </x:c>
    </x:row>
    <x:row r="61" ht="102" customHeight="1">
      <x:c r="A61" s="3" t="str">
        <x:v>P25</x:v>
      </x:c>
      <x:c r="B61" s="3" t="str">
        <x:v>Refactoring Selection</x:v>
      </x:c>
      <x:c r="C61" s="3" t="str">
        <x:v>Refactoring Candidate Prioritization</x:v>
      </x:c>
      <x:c r="D61" s="3" t="str">
        <x:v>Direct</x:v>
      </x:c>
      <x:c r="E61" s="3" t="str">
        <x:v>Study title: A Systematic Review on Code Smell Detection Approaches in Open Source Projects
[E087] 原始任务: classify code smell intensity to prioritize refactoring efforts
原始Evidence单元格（保留，不一律视为逐字引文）: ML approaches classify code-smell intensity to prioritize refactoring efforts.
Final manual adjudication: Direct.</x:v>
      </x:c>
      <x:c r="F61" s="3" t="str">
        <x:v>[E087] PDF p.5, Literature synthesis</x:v>
      </x:c>
    </x:row>
  </x:sheetData>
  <x:pageMargins left="0.7" right="0.7" top="0.75" bottom="0.75" header="0.3" footer="0.3"/>
  <x:tableParts count="1">
    <x:tablePart xmlns:r="http://schemas.openxmlformats.org/officeDocument/2006/relationships" r:id="R57ac91fba90a45d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5" hidden="0" customWidth="1"/>
    <x:col min="3" max="3" width="50" hidden="0" customWidth="1"/>
    <x:col min="4" max="4" width="35" hidden="0" customWidth="1"/>
    <x:col min="5" max="5" width="44" hidden="0" customWidth="1"/>
    <x:col min="6" max="6" width="90" hidden="0" customWidth="1"/>
    <x:col min="7" max="7" width="110" hidden="0" customWidth="1"/>
    <x:col min="8" max="8" width="82" hidden="0" customWidth="1"/>
    <x:col min="9" max="9" width="16" hidden="0" customWidth="1"/>
    <x:col min="10" max="10" width="16" hidden="0" customWidth="1"/>
  </x:cols>
  <x:sheetData>
    <x:row r="1" ht="44" customHeight="1">
      <x:c r="A1" s="6" t="str">
        <x:v>Study_ID</x:v>
      </x:c>
      <x:c r="B1" s="6" t="str">
        <x:v>Current_Activity</x:v>
      </x:c>
      <x:c r="C1" s="6" t="str">
        <x:v>Current_Subtask</x:v>
      </x:c>
      <x:c r="D1" s="6" t="str">
        <x:v>Candidate_Activity</x:v>
      </x:c>
      <x:c r="E1" s="6" t="str">
        <x:v>Candidate_Subtask</x:v>
      </x:c>
      <x:c r="F1" s="6" t="str">
        <x:v>Problem</x:v>
      </x:c>
      <x:c r="G1" s="6" t="str">
        <x:v>Evidence</x:v>
      </x:c>
      <x:c r="H1" s="6" t="str">
        <x:v>Recommendation</x:v>
      </x:c>
      <x:c r="I1" s="6" t="str">
        <x:v>Status</x:v>
      </x:c>
      <x:c r="J1" s="6" t="str">
        <x:v>Decision</x:v>
      </x:c>
    </x:row>
    <x:row r="2" ht="102" customHeight="1">
      <x:c r="A2" s="7" t="str">
        <x:v>P8</x:v>
      </x:c>
      <x:c r="B2" s="7" t="str">
        <x:v>Refactoring Opportunity Identification</x:v>
      </x:c>
      <x:c r="C2" s="7" t="str">
        <x:v>OI-2 — Smell-based opportunity detection</x:v>
      </x:c>
      <x:c r="D2" s="7" t="str">
        <x:v>Opportunity Identification</x:v>
      </x:c>
      <x:c r="E2" s="7" t="str">
        <x:v>Smell-based Opportunity Identification</x:v>
      </x:c>
      <x:c r="F2" s="7" t="str">
        <x:v>AI-to-task linkage unresolved: E023 reports a refactoring activity but expressly says that the AI technique is not isolated.</x:v>
      </x:c>
      <x:c r="G2" s="7" t="str">
        <x:v>[E023] 原始任务: use code smells as pointers for determining opportunities for refactoring
原始Evidence单元格（保留，不一律视为逐字引文）: Section 5.2 treats code smells as pointers/candidates for determining refactoring opportunities and lists the smells investigated.
[E023] PDF pp.8–9, Section 5.2/RQ1 and Table 5</x:v>
      </x:c>
      <x:c r="H2" s="7" t="str">
        <x:v>RESOLVED: KEEP. Final manual adjudication applied.  Final evidence location: [E023] PDF pp.8–9, Section 5.2/RQ1 and Table 5
Verified local PDF pp.8–9 (printed 922–923), Section 5.2 RQ1 and Table 5; p.20 (printed 934), refs.68–69.</x:v>
      </x:c>
      <x:c r="I2" s="7" t="str">
        <x:v>RESOLVED</x:v>
      </x:c>
      <x:c r="J2" s="7" t="str">
        <x:v>KEEP</x:v>
      </x:c>
    </x:row>
    <x:row r="3" ht="147" customHeight="1">
      <x:c r="A3" s="3" t="str">
        <x:v>P7</x:v>
      </x:c>
      <x:c r="B3" s="3" t="str">
        <x:v>Refactoring Opportunity Identification</x:v>
      </x:c>
      <x:c r="C3" s="3" t="str">
        <x:v>OI-3 — Clone-based opportunity detection</x:v>
      </x:c>
      <x:c r="D3" s="3" t="str">
        <x:v>Not in final mapping</x:v>
      </x:c>
      <x:c r="E3" s="3" t="str">
        <x:v>Not in final mapping</x:v>
      </x:c>
      <x:c r="F3" s="3" t="str">
        <x:v>AI linkage unresolved: PDF p.25 explicitly links clones to refactoring opportunities but lists cloning separately from machine learning.</x:v>
      </x:c>
      <x:c r="G3" s="3" t="str">
        <x:v>[E021] 原始任务: alert possible refactoring opportunity from cloning
原始Evidence单元格（保留，不一律视为逐字引文）: Cloning mechanisms alert developers to possible refactoring opportunities.
回查PDF原文: Cloning identifies code that is similar (as clones) and it alerts to a possible refactoring opportunity.
[E021] PDF p.25, Discussion
回查: P7, PDF p.25</x:v>
      </x:c>
      <x:c r="H3" s="3" t="str">
        <x:v>RESOLVED: EXCLUDE. Final manual adjudication applied. </x:v>
      </x:c>
      <x:c r="I3" s="3" t="str">
        <x:v>RESOLVED</x:v>
      </x:c>
      <x:c r="J3" s="3" t="str">
        <x:v>EXCLUDE</x:v>
      </x:c>
    </x:row>
    <x:row r="4" ht="72" customHeight="1">
      <x:c r="A4" s="7" t="str">
        <x:v>P14</x:v>
      </x:c>
      <x:c r="B4" s="7" t="str">
        <x:v>Refactoring Opportunity Identification</x:v>
      </x:c>
      <x:c r="C4" s="7" t="str">
        <x:v>OI-4 — Operation-specific candidate identification</x:v>
      </x:c>
      <x:c r="D4" s="7" t="str">
        <x:v>Opportunity Identification</x:v>
      </x:c>
      <x:c r="E4" s="7" t="str">
        <x:v>Operation-specific Opportunity Identification</x:v>
      </x:c>
      <x:c r="F4" s="7" t="str">
        <x:v>A1 versus A2 name generation: PDF p.5 calls prediction of function names ROI, whereas Table 4 reports a rename-prediction model.</x:v>
      </x:c>
      <x:c r="G4" s="7" t="str">
        <x:v>[E042] 原始任务: rename refactoring opportunity identification
原始Evidence单元格（保留，不一律视为逐字引文）: Table 4 maps CNN; MLP; BERT; TextCNN to rename refactoring opportunity identification.
[E042] PDF pp.5–6, Table 4; pp.12–14, Discussion</x:v>
      </x:c>
      <x:c r="H4" s="7" t="str">
        <x:v>RESOLVED: KEEP. Final manual adjudication applied.  Final evidence location: P14 local PDF p.6, Table 4 ref.38; p.10, Table 5 ref.38 (printed 318, 322). Supersedes E042 as the evidence for this mapping.</x:v>
      </x:c>
      <x:c r="I4" s="7" t="str">
        <x:v>RESOLVED</x:v>
      </x:c>
      <x:c r="J4" s="7" t="str">
        <x:v>KEEP</x:v>
      </x:c>
    </x:row>
    <x:row r="5" ht="72" customHeight="1">
      <x:c r="A5" s="3" t="str">
        <x:v>P14</x:v>
      </x:c>
      <x:c r="B5" s="3" t="str">
        <x:v>Refactoring Opportunity Identification</x:v>
      </x:c>
      <x:c r="C5" s="3" t="str">
        <x:v>OI-5 — Architectural refactoring opportunity identification</x:v>
      </x:c>
      <x:c r="D5" s="3" t="str">
        <x:v>Not in final mapping</x:v>
      </x:c>
      <x:c r="E5" s="3" t="str">
        <x:v>Not in final mapping</x:v>
      </x:c>
      <x:c r="F5" s="3" t="str">
        <x:v>A1 versus A4 decomposition: E043 and Tables 4–5 describe partitioning a monolith into clusters, without identifying which architecture first needs refactoring.</x:v>
      </x:c>
      <x:c r="G5" s="3" t="str">
        <x:v>[E043] 原始任务: monolith decomposition
原始Evidence单元格（保留，不一律视为逐字引文）: Table 4 maps Graph Neural Network; CO-GCN; K-means++ to monolith decomposition.
[E043] PDF pp.5–6, Table 4; pp.12–14, Discussion</x:v>
      </x:c>
      <x:c r="H5" s="3" t="str">
        <x:v>RESOLVED: EXCLUDE. Final manual adjudication applied. </x:v>
      </x:c>
      <x:c r="I5" s="3" t="str">
        <x:v>RESOLVED</x:v>
      </x:c>
      <x:c r="J5" s="3" t="str">
        <x:v>EXCLUDE</x:v>
      </x:c>
    </x:row>
    <x:row r="6" ht="72" customHeight="1">
      <x:c r="A6" s="7" t="str">
        <x:v>P15</x:v>
      </x:c>
      <x:c r="B6" s="7" t="str">
        <x:v>Refactoring Opportunity Identification</x:v>
      </x:c>
      <x:c r="C6" s="7" t="str">
        <x:v>OI-6 — Refactoring need/timing prediction</x:v>
      </x:c>
      <x:c r="D6" s="7" t="str">
        <x:v>Opportunity Identification</x:v>
      </x:c>
      <x:c r="E6" s="7" t="str">
        <x:v>Refactoring Need Prediction</x:v>
      </x:c>
      <x:c r="F6" s="7" t="str">
        <x:v>Prediction is not necessarily prospective: Table III reports Prediction but does not define a future horizon or distinguish prospective need from historical refactoring classification.</x:v>
      </x:c>
      <x:c r="G6" s="7" t="str">
        <x:v>[E048] 原始任务: prediction stage
原始Evidence单元格（保留，不一律视为逐字引文）: Random Forest is dominant for Prediction (29.41%).
[E048] PDF pp.3–5, Table III and Results</x:v>
      </x:c>
      <x:c r="H6" s="7" t="str">
        <x:v>RESOLVED: KEEP. Final manual adjudication applied.  Final evidence location: [E048] PDF pp.3–5, Table III and Results</x:v>
      </x:c>
      <x:c r="I6" s="7" t="str">
        <x:v>RESOLVED</x:v>
      </x:c>
      <x:c r="J6" s="7" t="str">
        <x:v>KEEP</x:v>
      </x:c>
    </x:row>
    <x:row r="7" ht="147" customHeight="1">
      <x:c r="A7" s="3" t="str">
        <x:v>P16</x:v>
      </x:c>
      <x:c r="B7" s="3" t="str">
        <x:v>Refactoring Opportunity Identification</x:v>
      </x:c>
      <x:c r="C7" s="3" t="str">
        <x:v>OI-6 — Refactoring need/timing prediction</x:v>
      </x:c>
      <x:c r="D7" s="3" t="str">
        <x:v>Not in final mapping</x:v>
      </x:c>
      <x:c r="E7" s="3" t="str">
        <x:v>Not in final mapping</x:v>
      </x:c>
      <x:c r="F7" s="3" t="str">
        <x:v>Prediction versus retrospective classification: PDF pp.12–13 includes locating possible refactorings and classifying refactoring commits; E052 does not establish future timing.</x:v>
      </x:c>
      <x:c r="G7" s="3" t="str">
        <x:v>[E052] 原始任务: predict refactoring activities from commit and code metrics
原始Evidence单元格（保留，不一律视为逐字引文）: A Random Forest model predicts refactoring using commit and code metrics.
回查PDF原文: Sagar et al. [107] compare commit messages and source code metrics to predictExtract Method refactoring.
[E052] PDF p.13, ML-based approaches
回查: P16, PDF p.13</x:v>
      </x:c>
      <x:c r="H7" s="3" t="str">
        <x:v>RESOLVED: EXCLUDE. Final manual adjudication applied. </x:v>
      </x:c>
      <x:c r="I7" s="3" t="str">
        <x:v>RESOLVED</x:v>
      </x:c>
      <x:c r="J7" s="3" t="str">
        <x:v>EXCLUDE</x:v>
      </x:c>
    </x:row>
    <x:row r="8" ht="72" customHeight="1">
      <x:c r="A8" s="7" t="str">
        <x:v>P3</x:v>
      </x:c>
      <x:c r="B8" s="7" t="str">
        <x:v>Refactoring Selection</x:v>
      </x:c>
      <x:c r="C8" s="7" t="str">
        <x:v>RS-1 — Refactoring operation recommendation/selection</x:v>
      </x:c>
      <x:c r="D8" s="7" t="str">
        <x:v>Not in final mapping</x:v>
      </x:c>
      <x:c r="E8" s="7" t="str">
        <x:v>Not in final mapping</x:v>
      </x:c>
      <x:c r="F8" s="7" t="str">
        <x:v>A1/A2/A4 outputs not separated: E006 reports GA-based smell removal but does not isolate a choice of operation.</x:v>
      </x:c>
      <x:c r="G8" s="7" t="str">
        <x:v>[E006] 原始任务: remove bad smells from code
原始Evidence单元格（保留，不一律视为逐字引文）: A methodology used Genetic Algorithms ... to remove bad smell from source code.
[E006] PDF p.6, Results synthesis</x:v>
      </x:c>
      <x:c r="H8" s="7" t="str">
        <x:v>RESOLVED: EXCLUDE. Final manual adjudication applied. </x:v>
      </x:c>
      <x:c r="I8" s="7" t="str">
        <x:v>RESOLVED</x:v>
      </x:c>
      <x:c r="J8" s="7" t="str">
        <x:v>EXCLUDE</x:v>
      </x:c>
    </x:row>
    <x:row r="9" ht="102" customHeight="1">
      <x:c r="A9" s="3" t="str">
        <x:v>P8</x:v>
      </x:c>
      <x:c r="B9" s="3" t="str">
        <x:v>Refactoring Selection</x:v>
      </x:c>
      <x:c r="C9" s="3" t="str">
        <x:v>RS-1 — Refactoring operation recommendation/selection</x:v>
      </x:c>
      <x:c r="D9" s="3" t="str">
        <x:v>Not in final mapping</x:v>
      </x:c>
      <x:c r="E9" s="3" t="str">
        <x:v>Not in final mapping</x:v>
      </x:c>
      <x:c r="F9" s="3" t="str">
        <x:v>AI-to-task linkage unresolved: E024 lists smell-specific refactoring suggestions without isolating an AI method.</x:v>
      </x:c>
      <x:c r="G9" s="3" t="str">
        <x:v>[E024] 原始任务: provide refactoring suggestions for identified code smells
原始Evidence单元格（保留，不一律视为逐字引文）: RQ1.1 lists refactoring suggestions for specific smells, including Move Method, Extract Method and Extract Class.
[E024] PDF pp.8–9, Section 5.2/RQ1.1</x:v>
      </x:c>
      <x:c r="H9" s="3" t="str">
        <x:v>RESOLVED: EXCLUDE. Final manual adjudication applied. </x:v>
      </x:c>
      <x:c r="I9" s="3" t="str">
        <x:v>RESOLVED</x:v>
      </x:c>
      <x:c r="J9" s="3" t="str">
        <x:v>EXCLUDE</x:v>
      </x:c>
    </x:row>
    <x:row r="10" ht="102" customHeight="1">
      <x:c r="A10" s="7" t="str">
        <x:v>P6</x:v>
      </x:c>
      <x:c r="B10" s="7" t="str">
        <x:v>Refactoring Selection</x:v>
      </x:c>
      <x:c r="C10" s="7" t="str">
        <x:v>RS-2 — Candidate prioritization/ranking/scheduling</x:v>
      </x:c>
      <x:c r="D10" s="7" t="str">
        <x:v>Not in final mapping</x:v>
      </x:c>
      <x:c r="E10" s="7" t="str">
        <x:v>Not in final mapping</x:v>
      </x:c>
      <x:c r="F10" s="7" t="str">
        <x:v>Future-work and version conflict: The 18-task table has RS-2, while the human-adjudicated table assigns E017 to A1; PDF p.42 primarily calls for prioritization research.</x:v>
      </x:c>
      <x:c r="G10" s="7" t="str">
        <x:v>[E017] 原始任务: code smell prioritization for scheduling refactoring operations
原始Evidence单元格（保留，不一律视为逐字引文）: Smell intensity is important when scheduling refactoring operations; only about 20% addressed prioritization.
[E017] PDF pp.41–43, Discussion/Future directions</x:v>
      </x:c>
      <x:c r="H10" s="7" t="str">
        <x:v>RESOLVED: EXCLUDE. Final manual adjudication applied. </x:v>
      </x:c>
      <x:c r="I10" s="7" t="str">
        <x:v>RESOLVED</x:v>
      </x:c>
      <x:c r="J10" s="7" t="str">
        <x:v>EXCLUDE</x:v>
      </x:c>
    </x:row>
    <x:row r="11" ht="87" customHeight="1">
      <x:c r="A11" s="3" t="str">
        <x:v>P25</x:v>
      </x:c>
      <x:c r="B11" s="3" t="str">
        <x:v>Refactoring Selection</x:v>
      </x:c>
      <x:c r="C11" s="3" t="str">
        <x:v>RS-2 — Candidate prioritization/ranking/scheduling</x:v>
      </x:c>
      <x:c r="D11" s="3" t="str">
        <x:v>Refactoring Selection</x:v>
      </x:c>
      <x:c r="E11" s="3" t="str">
        <x:v>Refactoring Candidate Prioritization</x:v>
      </x:c>
      <x:c r="F11" s="3" t="str">
        <x:v>Conflicting approved source versions: PDF p.5 explicitly reports intensity classification for prioritizing refactoring, but the manual table relocates E087 to A1.</x:v>
      </x:c>
      <x:c r="G11" s="3" t="str">
        <x:v>[E087] 原始任务: classify code smell intensity to prioritize refactoring efforts
原始Evidence单元格（保留，不一律视为逐字引文）: ML approaches classify code-smell intensity to prioritize refactoring efforts.
[E087] PDF p.5, Literature synthesis</x:v>
      </x:c>
      <x:c r="H11" s="3" t="str">
        <x:v>RESOLVED: KEEP. Final manual adjudication applied.  Final evidence location: [E087] PDF p.5, Literature synthesis</x:v>
      </x:c>
      <x:c r="I11" s="3" t="str">
        <x:v>RESOLVED</x:v>
      </x:c>
      <x:c r="J11" s="3" t="str">
        <x:v>KEEP</x:v>
      </x:c>
    </x:row>
    <x:row r="12" ht="117" customHeight="1">
      <x:c r="A12" s="7" t="str">
        <x:v>P15</x:v>
      </x:c>
      <x:c r="B12" s="7" t="str">
        <x:v>Behavior Preservation</x:v>
      </x:c>
      <x:c r="C12" s="7" t="str">
        <x:v>BP-2 — Test-based/dynamic behavior validation</x:v>
      </x:c>
      <x:c r="D12" s="7" t="str">
        <x:v>Not in final mapping</x:v>
      </x:c>
      <x:c r="E12" s="7" t="str">
        <x:v>Not in final mapping</x:v>
      </x:c>
      <x:c r="F12" s="7" t="str">
        <x:v>Testing label underspecified: Table III reports Testing but does not show that the tests validate behavioral equivalence of refactored programs.</x:v>
      </x:c>
      <x:c r="G12" s="7" t="str">
        <x:v>[E049] 原始任务: testing after/around refactoring
原始Evidence单元格（保留，不一律视为逐字引文）: Testing appears as an AI-supported refactoring stage in the review taxonomy.
回查PDF原文: Testing 1.28 18.44 1
[E049] PDF pp.3–4, Table III
回查: P15, PDF p.4</x:v>
      </x:c>
      <x:c r="H12" s="7" t="str">
        <x:v>RESOLVED: EXCLUDE. Final manual adjudication applied. </x:v>
      </x:c>
      <x:c r="I12" s="7" t="str">
        <x:v>RESOLVED</x:v>
      </x:c>
      <x:c r="J12" s="7" t="str">
        <x:v>EXCLUDE</x:v>
      </x:c>
    </x:row>
    <x:row r="13" ht="87" customHeight="1">
      <x:c r="A13" s="3" t="str">
        <x:v>P22</x:v>
      </x:c>
      <x:c r="B13" s="3" t="str">
        <x:v>Behavior Preservation</x:v>
      </x:c>
      <x:c r="C13" s="3" t="str">
        <x:v>BP-2 — Test-based/dynamic behavior validation</x:v>
      </x:c>
      <x:c r="D13" s="3" t="str">
        <x:v>Not in final mapping</x:v>
      </x:c>
      <x:c r="E13" s="3" t="str">
        <x:v>Not in final mapping</x:v>
      </x:c>
      <x:c r="F13" s="3" t="str">
        <x:v>Tool validation versus behavior preservation: E080 reports refactoring-engine bug counts, not necessarily behavioral preservation violations.</x:v>
      </x:c>
      <x:c r="G13" s="3" t="str">
        <x:v>[E080] 原始任务: test refactoring engines and detect refactoring bugs
原始Evidence单元格（保留，不一律视为逐字引文）: LLMs identified 86 refactoring-engine bugs versus 24 for the baseline.
[E080] PDF p.6 and pp.28–29, Results/Table 9</x:v>
      </x:c>
      <x:c r="H13" s="3" t="str">
        <x:v>RESOLVED: EXCLUDE. Final manual adjudication applied. </x:v>
      </x:c>
      <x:c r="I13" s="3" t="str">
        <x:v>RESOLVED</x:v>
      </x:c>
      <x:c r="J13" s="3" t="str">
        <x:v>EXCLUDE</x:v>
      </x:c>
    </x:row>
    <x:row r="14" ht="72" customHeight="1">
      <x:c r="A14" s="7" t="str">
        <x:v>P18</x:v>
      </x:c>
      <x:c r="B14" s="7" t="str">
        <x:v>Refactoring Application</x:v>
      </x:c>
      <x:c r="C14" s="7" t="str">
        <x:v>RA-1 — General/unspecified automated refactoring</x:v>
      </x:c>
      <x:c r="D14" s="7" t="str">
        <x:v>Not in final mapping</x:v>
      </x:c>
      <x:c r="E14" s="7" t="str">
        <x:v>Not in final mapping</x:v>
      </x:c>
      <x:c r="F14" s="7" t="str">
        <x:v>Technique substituted for a task and version conflict: E061 lists PEFT methods, not a transformation output; the human-adjudicated table limits P18 to A1/A2.</x:v>
      </x:c>
      <x:c r="G14" s="7" t="str">
        <x:v>[E061] 原始任务: adapt SLMs for maintenance/refactoring
原始Evidence单元格（保留，不一律视为逐字引文）: PEFT methods include prompt tuning, prefix tuning, LoRA, and (IA)3.
[E061] PDF pp.5–6, Section 3.3</x:v>
      </x:c>
      <x:c r="H14" s="7" t="str">
        <x:v>RESOLVED: EXCLUDE. Final manual adjudication applied. </x:v>
      </x:c>
      <x:c r="I14" s="7" t="str">
        <x:v>RESOLVED</x:v>
      </x:c>
      <x:c r="J14" s="7" t="str">
        <x:v>EXCLUDE</x:v>
      </x:c>
    </x:row>
    <x:row r="15" ht="102" customHeight="1">
      <x:c r="A15" s="3" t="str">
        <x:v>P8</x:v>
      </x:c>
      <x:c r="B15" s="3" t="str">
        <x:v>Refactoring Application</x:v>
      </x:c>
      <x:c r="C15" s="3" t="str">
        <x:v>RA-2 — Code-level refactoring transformation</x:v>
      </x:c>
      <x:c r="D15" s="3" t="str">
        <x:v>Not in final mapping</x:v>
      </x:c>
      <x:c r="E15" s="3" t="str">
        <x:v>Not in final mapping</x:v>
      </x:c>
      <x:c r="F15" s="3" t="str">
        <x:v>Automation not equivalent to AI: E025 counts automatic tools, but no AI-to-application link is supplied.</x:v>
      </x:c>
      <x:c r="G15" s="3" t="str">
        <x:v>[E025] 原始任务: refactoring applied; refactoring performed automatically
原始Evidence单元格（保留，不一律视为逐字引文）: Table 6 separates refactoring applied from refactoring identified; Table 10 and RQ5.1 report that refactoring was performed automatically in 25 studies.
[E025] PDF pp.10–11 and 14, RQ2/Table 6 and RQ5.1/Table 10</x:v>
      </x:c>
      <x:c r="H15" s="3" t="str">
        <x:v>RESOLVED: EXCLUDE. Final manual adjudication applied. </x:v>
      </x:c>
      <x:c r="I15" s="3" t="str">
        <x:v>RESOLVED</x:v>
      </x:c>
      <x:c r="J15" s="3" t="str">
        <x:v>EXCLUDE</x:v>
      </x:c>
    </x:row>
    <x:row r="16" ht="102" customHeight="1">
      <x:c r="A16" s="7" t="str">
        <x:v>P18</x:v>
      </x:c>
      <x:c r="B16" s="7" t="str">
        <x:v>Refactoring Application</x:v>
      </x:c>
      <x:c r="C16" s="7" t="str">
        <x:v>RA-2 — Code-level refactoring transformation</x:v>
      </x:c>
      <x:c r="D16" s="7" t="str">
        <x:v>Refactoring Application</x:v>
      </x:c>
      <x:c r="E16" s="7" t="str">
        <x:v>Code-level Refactoring Transformation</x:v>
      </x:c>
      <x:c r="F16" s="7" t="str">
        <x:v>Conflicting approved source versions: E059 describes synthesized transforms, but the human-adjudicated table changes P18 to A1/A2 while the 18-task table retains A4.</x:v>
      </x:c>
      <x:c r="G16" s="7" t="str">
        <x:v>[E059] 原始任务: code refactoring suggestions and synthesized transforms
原始Evidence单元格（保留，不一律视为逐字引文）: SLMs can match or outperform LLMs in refactoring tasks; synthesized transforms can perform equally well.
[E059] PDF pp.6–8, Sections 3.4–3.6</x:v>
      </x:c>
      <x:c r="H16" s="7" t="str">
        <x:v>RESOLVED: KEEP. Final manual adjudication applied.  Final evidence location: [E059] PDF pp.6–8, Sections 3.4–3.6
Exact quotation: PDF p.6 (printed 511), Section 3.4, Code Refactoring / CF20.</x:v>
      </x:c>
      <x:c r="I16" s="7" t="str">
        <x:v>RESOLVED</x:v>
      </x:c>
      <x:c r="J16" s="7" t="str">
        <x:v>KEEP</x:v>
      </x:c>
    </x:row>
    <x:row r="17" ht="409" customHeight="1">
      <x:c r="A17" s="3" t="str">
        <x:v>P5</x:v>
      </x:c>
      <x:c r="B17" s="3" t="str">
        <x:v>Quality Impact Assessment</x:v>
      </x:c>
      <x:c r="C17" s="3" t="str">
        <x:v>QI-1 — Software quality impact assessment</x:v>
      </x:c>
      <x:c r="D17" s="3" t="str">
        <x:v>Not in final mapping</x:v>
      </x:c>
      <x:c r="E17" s="3" t="str">
        <x:v>Not in final mapping</x:v>
      </x:c>
      <x:c r="F17" s="3" t="str">
        <x:v>Optimization objective versus impact evidence: E010–E015 list algorithms; PDF p.5 lists evaluation metrics but does not unambiguously bind quality effects to the coded applications.</x:v>
      </x:c>
      <x:c r="G17" s="3" t="str">
        <x:v>[E010] 原始任务: multi-objective software refactoring
原始Evidence单元格（保留，不一律视为逐字引文）: Genetic Algorithm (GA) is listed among algorithms used for multi-objective software refactoring.
[E011] 原始任务: multi-objective software refactoring
原始Evidence单元格（保留，不一律视为逐字引文）: Multi-Objective Particle Swarm Optimization (MOPSO) is listed among algorithms used for multi-objective software refactoring.
[E012] 原始任务: multi-objective software refactoring
原始Evidence单元格（保留，不一律视为逐字引文）: NSGA-II is listed among algorithms used for multi-objective software refactoring.
[E013] 原始任务: multi-objective software refactoring
原始Evidence单元格（保留，不一律视为逐字引文）: NSGA-III is listed among algorithms used for multi-objective software refactoring.
[E014] 原始任务: multi-objective software refactoring
原始Evidence单元格（保留，不一律视为逐字引文）: MOEA/D is listed among algorithms used for multi-objective software refactoring.
[E015] 原始任务: multi-objective software refactoring
原始Evidence单元格（保留，不一律视为逐字引文）: IBEA is listed among algorithms used for multi-objective software refactoring.
[E010] PDF pp.4–6, Table VI and Discussion
[E011] PDF pp.4–6, Table VI and Discussion
[E012] PDF pp.4–6, Table VI and Discussion
[E013] PDF pp.4–6, Table VI and Discussion
[E014] PDF pp.4–6, Table VI and Discussion
[E015] PDF pp.4–6, Table VI and Discussion</x:v>
      </x:c>
      <x:c r="H17" s="3" t="str">
        <x:v>RESOLVED: EXCLUDE. Final manual adjudication applied. </x:v>
      </x:c>
      <x:c r="I17" s="3" t="str">
        <x:v>RESOLVED</x:v>
      </x:c>
      <x:c r="J17" s="3" t="str">
        <x:v>EXCLUDE</x:v>
      </x:c>
    </x:row>
    <x:row r="18" ht="102" customHeight="1">
      <x:c r="A18" s="7" t="str">
        <x:v>P8</x:v>
      </x:c>
      <x:c r="B18" s="7" t="str">
        <x:v>Quality Impact Assessment</x:v>
      </x:c>
      <x:c r="C18" s="7" t="str">
        <x:v>QI-1 — Software quality impact assessment</x:v>
      </x:c>
      <x:c r="D18" s="7" t="str">
        <x:v>Not in final mapping</x:v>
      </x:c>
      <x:c r="E18" s="7" t="str">
        <x:v>Not in final mapping</x:v>
      </x:c>
      <x:c r="F18" s="7" t="str">
        <x:v>AI impact attribution unresolved: E026 summarizes general refactoring benefits and metrics without isolating AI-supported transformations.</x:v>
      </x:c>
      <x:c r="G18" s="7" t="str">
        <x:v>[E026] 原始任务: report benefits and software metrics associated with refactoring techniques
原始Evidence单元格（保留，不一律视为逐字引文）: RQ2.1 reports benefits such as improved cohesion/readability and reduced dependencies/duplication; RQ3 summarizes quality-related metrics.
[E026] PDF pp.10–12, RQ2.1 and RQ3</x:v>
      </x:c>
      <x:c r="H18" s="7" t="str">
        <x:v>RESOLVED: EXCLUDE. Final manual adjudication applied. </x:v>
      </x:c>
      <x:c r="I18" s="7" t="str">
        <x:v>RESOLVED</x:v>
      </x:c>
      <x:c r="J18" s="7" t="str">
        <x:v>EXCLUDE</x:v>
      </x:c>
    </x:row>
    <x:row r="19" ht="102" customHeight="1">
      <x:c r="A19" s="3" t="str">
        <x:v>P13</x:v>
      </x:c>
      <x:c r="B19" s="3" t="str">
        <x:v>Quality Impact Assessment</x:v>
      </x:c>
      <x:c r="C19" s="3" t="str">
        <x:v>QI-1 — Software quality impact assessment</x:v>
      </x:c>
      <x:c r="D19" s="3" t="str">
        <x:v>Not in final mapping</x:v>
      </x:c>
      <x:c r="E19" s="3" t="str">
        <x:v>Not in final mapping</x:v>
      </x:c>
      <x:c r="F19" s="3" t="str">
        <x:v>AI impact attribution unresolved: E037 explicitly says that the effect synthesis is not tied to an AI technique.</x:v>
      </x:c>
      <x:c r="G19" s="3" t="str">
        <x:v>[E037] 原始任务: effects of applying composite refactoring on software projects
原始Evidence单元格（保留，不一律视为逐字引文）: RQ3 and Summary 3 report positive and negative internal/external quality effects of applying composite refactorings.
[E037] PDF pp.4, 9–12, RQ3 and Summary 3</x:v>
      </x:c>
      <x:c r="H19" s="3" t="str">
        <x:v>RESOLVED: EXCLUDE. Final manual adjudication applied. </x:v>
      </x:c>
      <x:c r="I19" s="3" t="str">
        <x:v>RESOLVED</x:v>
      </x:c>
      <x:c r="J19" s="3" t="str">
        <x:v>EXCLUDE</x:v>
      </x:c>
    </x:row>
    <x:row r="20" ht="102" customHeight="1">
      <x:c r="A20" s="7" t="str">
        <x:v>P9</x:v>
      </x:c>
      <x:c r="B20" s="7" t="str">
        <x:v>Artifact Consistency Maintenance</x:v>
      </x:c>
      <x:c r="C20" s="7" t="str">
        <x:v>AC-1 — Related-artifact consistency maintenance</x:v>
      </x:c>
      <x:c r="D20" s="7" t="str">
        <x:v>Not in final mapping</x:v>
      </x:c>
      <x:c r="E20" s="7" t="str">
        <x:v>Not in final mapping</x:v>
      </x:c>
      <x:c r="F20" s="7" t="str">
        <x:v>Behavior consistency versus cross-artifact consistency: E027 concerns behavioral consistency during model refactoring; PDF p.11 discusses distinct model-driven approaches nearby.</x:v>
      </x:c>
      <x:c r="G20" s="7" t="str">
        <x:v>[E027] 原始任务: detect behavioral inconsistencies and behavior-preservation violations during model refactoring
原始Evidence单元格（保留，不一律视为逐字引文）: Description-logics reasoning detects behavioral inconsistencies and behavior-preservation violations during model refactoring.
[E027] PDF p.11, Results synthesis</x:v>
      </x:c>
      <x:c r="H20" s="7" t="str">
        <x:v>RESOLVED: EXCLUDE. Final manual adjudication applied. </x:v>
      </x:c>
      <x:c r="I20" s="7" t="str">
        <x:v>RESOLVED</x:v>
      </x:c>
      <x:c r="J20" s="7" t="str">
        <x:v>EXCLUDE</x:v>
      </x:c>
    </x:row>
    <x:row r="21" ht="117" customHeight="1">
      <x:c r="A21" s="3" t="str">
        <x:v>P15</x:v>
      </x:c>
      <x:c r="B21" s="3" t="str">
        <x:v>Artifact Consistency Maintenance</x:v>
      </x:c>
      <x:c r="C21" s="3" t="str">
        <x:v>AC-1 — Related-artifact consistency maintenance</x:v>
      </x:c>
      <x:c r="D21" s="3" t="str">
        <x:v>Not in final mapping</x:v>
      </x:c>
      <x:c r="E21" s="3" t="str">
        <x:v>Not in final mapping</x:v>
      </x:c>
      <x:c r="F21" s="3" t="str">
        <x:v>Documentation label underspecified: Table III reports Documentation but does not establish post-refactoring consistency across artifacts.</x:v>
      </x:c>
      <x:c r="G21" s="3" t="str">
        <x:v>[E050] 原始任务: documentation maintenance
原始Evidence单元格（保留，不一律视为逐字引文）: Documentation appears as an AI-supported refactoring stage in the review taxonomy.
回查PDF原文: Documentation 9.62 5.22 4
[E050] PDF pp.3–4, Table III
回查: P15, PDF p.4</x:v>
      </x:c>
      <x:c r="H21" s="3" t="str">
        <x:v>RESOLVED: EXCLUDE. Final manual adjudication applied. </x:v>
      </x:c>
      <x:c r="I21" s="3" t="str">
        <x:v>RESOLVED</x:v>
      </x:c>
      <x:c r="J21" s="3" t="str">
        <x:v>EXCLUDE</x:v>
      </x:c>
    </x:row>
    <x:row r="22" ht="72" customHeight="1">
      <x:c r="A22" s="7" t="str">
        <x:v>P6</x:v>
      </x:c>
      <x:c r="B22" s="7" t="str">
        <x:v>Unclear</x:v>
      </x:c>
      <x:c r="C22" s="7" t="str">
        <x:v>No confirmed refactoring task for detection rows</x:v>
      </x:c>
      <x:c r="D22" s="7" t="str">
        <x:v>Opportunity Identification</x:v>
      </x:c>
      <x:c r="E22" s="7" t="str">
        <x:v>Smell-based Opportunity Identification</x:v>
      </x:c>
      <x:c r="F22" s="7" t="str">
        <x:v>Manual version assigns P6 to A1, but current taxonomy excludes E016 and includes only RS-2. Confirm the AI-to-refactoring opportunity linkage and authoritative version.</x:v>
      </x:c>
      <x:c r="G22" s="7" t="str">
        <x:v>[E016] 原始任务: code smell prediction/detection
原始Evidence单元格（保留，不一律视为逐字引文）: JRip and Random Forest achieved the best reported averages for smell prediction.
PDF pp.38–40, Meta-analysis results</x:v>
      </x:c>
      <x:c r="H22" s="7" t="str">
        <x:v>RESOLVED: ADD. Final manual adjudication applied.  Final evidence location: Verified local PDF pp.6–7 (printed 5–6), related-work discussion and own studies S01/S03/S13; p.18 (printed 17), Section 3.2 RQ1. No future-work evidence used.</x:v>
      </x:c>
      <x:c r="I22" s="7" t="str">
        <x:v>RESOLVED</x:v>
      </x:c>
      <x:c r="J22" s="7" t="str">
        <x:v>ADD</x:v>
      </x:c>
    </x:row>
    <x:row r="23" ht="72" customHeight="1">
      <x:c r="A23" s="3" t="str">
        <x:v>P24</x:v>
      </x:c>
      <x:c r="B23" s="3" t="str">
        <x:v>Unclear</x:v>
      </x:c>
      <x:c r="C23" s="3" t="str">
        <x:v>No confirmed refactoring task for most model rows</x:v>
      </x:c>
      <x:c r="D23" s="3" t="str">
        <x:v>Not in final mapping</x:v>
      </x:c>
      <x:c r="E23" s="3" t="str">
        <x:v>Not in final mapping</x:v>
      </x:c>
      <x:c r="F23" s="3" t="str">
        <x:v>Most model rows are detection-only; retain only reviewed methods with an explicit refactoring linkage, not the full model inventory.</x:v>
      </x:c>
      <x:c r="G23" s="3" t="str">
        <x:v>[E085] 原始任务: LLM-driven clone detection
原始Evidence单元格（保留，不一律视为逐字引文）: Seventy-nine percent of primary studies did not discuss or specify refactoring types.
PDF p.6, RQ1 Results</x:v>
      </x:c>
      <x:c r="H23" s="3" t="str">
        <x:v>RESOLVED: EXCLUDE. Final manual adjudication applied.  E085 excluded; E084 mappings remain unchanged.</x:v>
      </x:c>
      <x:c r="I23" s="3" t="str">
        <x:v>RESOLVED</x:v>
      </x:c>
      <x:c r="J23" s="3" t="str">
        <x:v>EXCLUDE</x:v>
      </x:c>
    </x:row>
    <x:row r="24" ht="102" customHeight="1">
      <x:c r="A24" s="7" t="str">
        <x:v>P25</x:v>
      </x:c>
      <x:c r="B24" s="7" t="str">
        <x:v>Unclear</x:v>
      </x:c>
      <x:c r="C24" s="7" t="str">
        <x:v>AI-assisted model refactoring (operation unclear)</x:v>
      </x:c>
      <x:c r="D24" s="7" t="str">
        <x:v>Not in final mapping</x:v>
      </x:c>
      <x:c r="E24" s="7" t="str">
        <x:v>Not in final mapping</x:v>
      </x:c>
      <x:c r="F24" s="7" t="str">
        <x:v>Model refactoring is inferred from a cited title; inspect a substantive description before determining the activity. The manual version assigns A1 without resolving this detail.</x:v>
      </x:c>
      <x:c r="G24" s="7" t="str">
        <x:v>[E088] 原始任务: software model refactoring / early quality improvement
原始Evidence单元格（保留，不一律视为逐字引文）: The review includes a deep-learning neural-network study titled 'A machine learning approach to software model refactoring'.
PDF pp.15, 17, 20, 26, 28; Tables 3/6 and Appendix A1</x:v>
      </x:c>
      <x:c r="H24" s="7" t="str">
        <x:v>RESOLVED: EXCLUDE. Final manual adjudication applied. E088 remains excluded; P25 prioritization is retained on the separate E087 evidence.</x:v>
      </x:c>
      <x:c r="I24" s="7" t="str">
        <x:v>RESOLVED</x:v>
      </x:c>
      <x:c r="J24" s="7" t="str">
        <x:v>EXCLUDE</x:v>
      </x:c>
    </x:row>
  </x:sheetData>
  <x:pageMargins left="0.7" right="0.7" top="0.75" bottom="0.75" header="0.3" footer="0.3"/>
  <x:tableParts count="1">
    <x:tablePart xmlns:r="http://schemas.openxmlformats.org/officeDocument/2006/relationships" r:id="R144e6c03f15846f6"/>
  </x:tableParts>
</x:worksheet>
</file>